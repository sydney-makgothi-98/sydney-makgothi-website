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habe\Desktop\Main PC content\University\2025 (Wits)\Courses\Research and Design\Design\Utility Code and Software Files\"/>
    </mc:Choice>
  </mc:AlternateContent>
  <xr:revisionPtr revIDLastSave="0" documentId="8_{CD2EF4EB-D0F3-42C1-B474-2D56175C0AE8}" xr6:coauthVersionLast="47" xr6:coauthVersionMax="47" xr10:uidLastSave="{00000000-0000-0000-0000-000000000000}"/>
  <bookViews>
    <workbookView xWindow="-120" yWindow="-120" windowWidth="29040" windowHeight="15720" xr2:uid="{EC02FC2B-B43A-4849-A880-2B135301FAA9}"/>
  </bookViews>
  <sheets>
    <sheet name="EM-Char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D173" i="1"/>
  <c r="D159" i="1"/>
  <c r="B156" i="1"/>
  <c r="A156" i="1"/>
  <c r="A168" i="1" s="1"/>
  <c r="A182" i="1" s="1"/>
  <c r="B150" i="1"/>
  <c r="D133" i="1"/>
  <c r="A133" i="1"/>
  <c r="B129" i="1"/>
  <c r="B155" i="1" s="1"/>
  <c r="B128" i="1"/>
  <c r="B154" i="1" s="1"/>
  <c r="B127" i="1"/>
  <c r="B153" i="1" s="1"/>
  <c r="B126" i="1"/>
  <c r="B152" i="1" s="1"/>
  <c r="B125" i="1"/>
  <c r="B151" i="1" s="1"/>
  <c r="B124" i="1"/>
  <c r="B123" i="1"/>
  <c r="B149" i="1" s="1"/>
  <c r="B122" i="1"/>
  <c r="B148" i="1" s="1"/>
  <c r="B121" i="1"/>
  <c r="B147" i="1" s="1"/>
  <c r="A111" i="1"/>
  <c r="A112" i="1" s="1"/>
  <c r="A113" i="1" s="1"/>
  <c r="A114" i="1" s="1"/>
  <c r="A115" i="1" s="1"/>
  <c r="A116" i="1" s="1"/>
  <c r="A117" i="1" s="1"/>
  <c r="A118" i="1" s="1"/>
  <c r="AO110" i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57" i="1" s="1"/>
  <c r="AO158" i="1" s="1"/>
  <c r="AO159" i="1" s="1"/>
  <c r="AO160" i="1" s="1"/>
  <c r="AO161" i="1" s="1"/>
  <c r="AO162" i="1" s="1"/>
  <c r="AO163" i="1" s="1"/>
  <c r="AO164" i="1" s="1"/>
  <c r="AO165" i="1" s="1"/>
  <c r="AO166" i="1" s="1"/>
  <c r="A110" i="1"/>
  <c r="A109" i="1"/>
  <c r="D108" i="1"/>
  <c r="B108" i="1" s="1"/>
  <c r="AA95" i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O94" i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A94" i="1"/>
  <c r="T94" i="1"/>
  <c r="O94" i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AC93" i="1"/>
  <c r="AA93" i="1"/>
  <c r="AB93" i="1" s="1"/>
  <c r="AD93" i="1" s="1"/>
  <c r="X93" i="1"/>
  <c r="U93" i="1"/>
  <c r="T93" i="1"/>
  <c r="O93" i="1"/>
  <c r="AO92" i="1"/>
  <c r="AO93" i="1" s="1"/>
  <c r="AD92" i="1"/>
  <c r="AC92" i="1"/>
  <c r="AB92" i="1"/>
  <c r="X92" i="1"/>
  <c r="U92" i="1"/>
  <c r="H92" i="1"/>
  <c r="AP91" i="1"/>
  <c r="AH91" i="1"/>
  <c r="AH92" i="1" s="1"/>
  <c r="A87" i="1"/>
  <c r="B86" i="1"/>
  <c r="A86" i="1"/>
  <c r="B85" i="1"/>
  <c r="A85" i="1"/>
  <c r="B84" i="1"/>
  <c r="A84" i="1"/>
  <c r="B83" i="1"/>
  <c r="A83" i="1"/>
  <c r="A82" i="1"/>
  <c r="D81" i="1"/>
  <c r="B81" i="1"/>
  <c r="A81" i="1"/>
  <c r="B65" i="1"/>
  <c r="D59" i="1"/>
  <c r="D58" i="1"/>
  <c r="D57" i="1"/>
  <c r="A57" i="1"/>
  <c r="A58" i="1" s="1"/>
  <c r="A59" i="1" s="1"/>
  <c r="A60" i="1" s="1"/>
  <c r="A61" i="1" s="1"/>
  <c r="B44" i="1"/>
  <c r="B20" i="1"/>
  <c r="B21" i="1" s="1"/>
  <c r="A20" i="1"/>
  <c r="C20" i="1" s="1"/>
  <c r="C19" i="1"/>
  <c r="A19" i="1"/>
  <c r="B16" i="1"/>
  <c r="AA15" i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B13" i="1"/>
  <c r="AH10" i="1"/>
  <c r="AA10" i="1"/>
  <c r="AA11" i="1" s="1"/>
  <c r="AA12" i="1" s="1"/>
  <c r="AA13" i="1" s="1"/>
  <c r="AA14" i="1" s="1"/>
  <c r="AQ9" i="1"/>
  <c r="AO9" i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I9" i="1"/>
  <c r="AJ9" i="1" s="1"/>
  <c r="AK9" i="1" s="1"/>
  <c r="AH9" i="1"/>
  <c r="AP9" i="1" s="1"/>
  <c r="AR9" i="1" s="1"/>
  <c r="AD9" i="1"/>
  <c r="AB9" i="1"/>
  <c r="AA9" i="1"/>
  <c r="T9" i="1"/>
  <c r="U9" i="1" s="1"/>
  <c r="V9" i="1" s="1"/>
  <c r="W9" i="1" s="1"/>
  <c r="AQ8" i="1"/>
  <c r="AP8" i="1"/>
  <c r="AR8" i="1" s="1"/>
  <c r="AL8" i="1"/>
  <c r="AI8" i="1"/>
  <c r="AJ8" i="1" s="1"/>
  <c r="AK8" i="1" s="1"/>
  <c r="AM8" i="1" s="1"/>
  <c r="AN8" i="1" s="1"/>
  <c r="AC8" i="1"/>
  <c r="AB8" i="1"/>
  <c r="AD8" i="1" s="1"/>
  <c r="X8" i="1"/>
  <c r="Y8" i="1" s="1"/>
  <c r="Z8" i="1" s="1"/>
  <c r="V8" i="1"/>
  <c r="W8" i="1" s="1"/>
  <c r="U8" i="1"/>
  <c r="L8" i="1"/>
  <c r="H8" i="1"/>
  <c r="A62" i="1" l="1"/>
  <c r="A63" i="1" s="1"/>
  <c r="A64" i="1" s="1"/>
  <c r="A65" i="1" s="1"/>
  <c r="B61" i="1"/>
  <c r="B22" i="1"/>
  <c r="A21" i="1"/>
  <c r="C21" i="1" s="1"/>
  <c r="H9" i="1"/>
  <c r="I8" i="1"/>
  <c r="J8" i="1" s="1"/>
  <c r="K8" i="1" s="1"/>
  <c r="Q8" i="1"/>
  <c r="O8" i="1"/>
  <c r="P8" i="1" s="1"/>
  <c r="R8" i="1" s="1"/>
  <c r="M8" i="1"/>
  <c r="N8" i="1" s="1"/>
  <c r="AL10" i="1"/>
  <c r="AI10" i="1"/>
  <c r="AJ10" i="1" s="1"/>
  <c r="AK10" i="1" s="1"/>
  <c r="AP10" i="1"/>
  <c r="AR10" i="1"/>
  <c r="AH11" i="1"/>
  <c r="AQ10" i="1"/>
  <c r="AL9" i="1"/>
  <c r="AM9" i="1" s="1"/>
  <c r="AN9" i="1" s="1"/>
  <c r="X9" i="1"/>
  <c r="Y9" i="1" s="1"/>
  <c r="Z9" i="1" s="1"/>
  <c r="B62" i="1"/>
  <c r="B63" i="1"/>
  <c r="B64" i="1"/>
  <c r="B60" i="1"/>
  <c r="B59" i="1"/>
  <c r="B58" i="1"/>
  <c r="B57" i="1"/>
  <c r="AL92" i="1"/>
  <c r="AH93" i="1"/>
  <c r="AQ92" i="1"/>
  <c r="AP92" i="1"/>
  <c r="AR92" i="1" s="1"/>
  <c r="AI92" i="1"/>
  <c r="AJ92" i="1" s="1"/>
  <c r="AK92" i="1" s="1"/>
  <c r="V93" i="1"/>
  <c r="W93" i="1" s="1"/>
  <c r="Y93" i="1" s="1"/>
  <c r="Z93" i="1" s="1"/>
  <c r="AC9" i="1"/>
  <c r="T10" i="1"/>
  <c r="I92" i="1"/>
  <c r="J92" i="1" s="1"/>
  <c r="K92" i="1" s="1"/>
  <c r="H93" i="1"/>
  <c r="Q92" i="1"/>
  <c r="P92" i="1"/>
  <c r="R92" i="1" s="1"/>
  <c r="L92" i="1"/>
  <c r="T95" i="1"/>
  <c r="AC94" i="1"/>
  <c r="U94" i="1"/>
  <c r="V94" i="1" s="1"/>
  <c r="W94" i="1" s="1"/>
  <c r="B114" i="1"/>
  <c r="B115" i="1"/>
  <c r="B117" i="1"/>
  <c r="B116" i="1"/>
  <c r="B113" i="1"/>
  <c r="B111" i="1"/>
  <c r="X94" i="1"/>
  <c r="Y94" i="1" s="1"/>
  <c r="Z94" i="1" s="1"/>
  <c r="AR91" i="1"/>
  <c r="AI91" i="1"/>
  <c r="AJ91" i="1" s="1"/>
  <c r="AK91" i="1" s="1"/>
  <c r="B110" i="1"/>
  <c r="AL91" i="1"/>
  <c r="AM91" i="1" s="1"/>
  <c r="AN91" i="1" s="1"/>
  <c r="AB94" i="1"/>
  <c r="AD94" i="1" s="1"/>
  <c r="V92" i="1"/>
  <c r="W92" i="1" s="1"/>
  <c r="Y92" i="1" s="1"/>
  <c r="Z92" i="1" s="1"/>
  <c r="B109" i="1"/>
  <c r="B112" i="1"/>
  <c r="A147" i="1"/>
  <c r="A134" i="1"/>
  <c r="B82" i="1"/>
  <c r="AQ91" i="1"/>
  <c r="B133" i="1"/>
  <c r="B159" i="1"/>
  <c r="B173" i="1" s="1"/>
  <c r="AM10" i="1" l="1"/>
  <c r="AN10" i="1" s="1"/>
  <c r="X95" i="1"/>
  <c r="U95" i="1"/>
  <c r="V95" i="1" s="1"/>
  <c r="W95" i="1" s="1"/>
  <c r="T96" i="1"/>
  <c r="AC95" i="1"/>
  <c r="AB95" i="1"/>
  <c r="AD95" i="1" s="1"/>
  <c r="M92" i="1"/>
  <c r="N92" i="1" s="1"/>
  <c r="AI93" i="1"/>
  <c r="AJ93" i="1" s="1"/>
  <c r="AK93" i="1" s="1"/>
  <c r="AH94" i="1"/>
  <c r="AQ93" i="1"/>
  <c r="AR93" i="1"/>
  <c r="AP93" i="1"/>
  <c r="AL93" i="1"/>
  <c r="A148" i="1"/>
  <c r="A160" i="1" s="1"/>
  <c r="A174" i="1" s="1"/>
  <c r="A135" i="1"/>
  <c r="L9" i="1"/>
  <c r="H10" i="1"/>
  <c r="I9" i="1"/>
  <c r="J9" i="1" s="1"/>
  <c r="K9" i="1" s="1"/>
  <c r="Q9" i="1"/>
  <c r="O9" i="1"/>
  <c r="P9" i="1" s="1"/>
  <c r="R9" i="1" s="1"/>
  <c r="B160" i="1"/>
  <c r="B174" i="1" s="1"/>
  <c r="AM92" i="1"/>
  <c r="AN92" i="1" s="1"/>
  <c r="H94" i="1"/>
  <c r="Q93" i="1"/>
  <c r="I93" i="1"/>
  <c r="J93" i="1" s="1"/>
  <c r="K93" i="1" s="1"/>
  <c r="P93" i="1"/>
  <c r="R93" i="1" s="1"/>
  <c r="L93" i="1"/>
  <c r="M93" i="1" s="1"/>
  <c r="N93" i="1" s="1"/>
  <c r="AP11" i="1"/>
  <c r="AL11" i="1"/>
  <c r="AI11" i="1"/>
  <c r="AJ11" i="1" s="1"/>
  <c r="AK11" i="1" s="1"/>
  <c r="AR11" i="1"/>
  <c r="AH12" i="1"/>
  <c r="AQ11" i="1"/>
  <c r="B23" i="1"/>
  <c r="A22" i="1"/>
  <c r="C22" i="1" s="1"/>
  <c r="B134" i="1"/>
  <c r="X10" i="1"/>
  <c r="T11" i="1"/>
  <c r="AC10" i="1"/>
  <c r="AB10" i="1"/>
  <c r="AD10" i="1" s="1"/>
  <c r="U10" i="1"/>
  <c r="V10" i="1" s="1"/>
  <c r="W10" i="1" s="1"/>
  <c r="AL94" i="1" l="1"/>
  <c r="AI94" i="1"/>
  <c r="AJ94" i="1" s="1"/>
  <c r="AK94" i="1" s="1"/>
  <c r="AH95" i="1"/>
  <c r="AQ94" i="1"/>
  <c r="AP94" i="1"/>
  <c r="AR94" i="1" s="1"/>
  <c r="M9" i="1"/>
  <c r="N9" i="1" s="1"/>
  <c r="U11" i="1"/>
  <c r="V11" i="1" s="1"/>
  <c r="W11" i="1" s="1"/>
  <c r="T12" i="1"/>
  <c r="AC11" i="1"/>
  <c r="AB11" i="1"/>
  <c r="AD11" i="1" s="1"/>
  <c r="X11" i="1"/>
  <c r="A149" i="1"/>
  <c r="A161" i="1" s="1"/>
  <c r="A175" i="1" s="1"/>
  <c r="A136" i="1"/>
  <c r="B135" i="1"/>
  <c r="B161" i="1"/>
  <c r="B175" i="1" s="1"/>
  <c r="T97" i="1"/>
  <c r="AC96" i="1"/>
  <c r="AB96" i="1"/>
  <c r="AD96" i="1"/>
  <c r="X96" i="1"/>
  <c r="Y96" i="1" s="1"/>
  <c r="Z96" i="1" s="1"/>
  <c r="U96" i="1"/>
  <c r="V96" i="1" s="1"/>
  <c r="W96" i="1" s="1"/>
  <c r="AM11" i="1"/>
  <c r="AN11" i="1" s="1"/>
  <c r="Y10" i="1"/>
  <c r="Z10" i="1" s="1"/>
  <c r="B24" i="1"/>
  <c r="A23" i="1"/>
  <c r="C23" i="1" s="1"/>
  <c r="AM93" i="1"/>
  <c r="AN93" i="1" s="1"/>
  <c r="Y95" i="1"/>
  <c r="Z95" i="1" s="1"/>
  <c r="AH13" i="1"/>
  <c r="AQ12" i="1"/>
  <c r="AP12" i="1"/>
  <c r="AR12" i="1" s="1"/>
  <c r="AL12" i="1"/>
  <c r="AI12" i="1"/>
  <c r="AJ12" i="1" s="1"/>
  <c r="AK12" i="1" s="1"/>
  <c r="I10" i="1"/>
  <c r="J10" i="1" s="1"/>
  <c r="K10" i="1" s="1"/>
  <c r="H11" i="1"/>
  <c r="Q10" i="1"/>
  <c r="P10" i="1"/>
  <c r="R10" i="1" s="1"/>
  <c r="O10" i="1"/>
  <c r="L10" i="1"/>
  <c r="P94" i="1"/>
  <c r="I94" i="1"/>
  <c r="J94" i="1" s="1"/>
  <c r="K94" i="1" s="1"/>
  <c r="R94" i="1"/>
  <c r="L94" i="1"/>
  <c r="M94" i="1" s="1"/>
  <c r="N94" i="1" s="1"/>
  <c r="H95" i="1"/>
  <c r="Q94" i="1"/>
  <c r="L95" i="1" l="1"/>
  <c r="M95" i="1" s="1"/>
  <c r="N95" i="1" s="1"/>
  <c r="I95" i="1"/>
  <c r="J95" i="1" s="1"/>
  <c r="K95" i="1" s="1"/>
  <c r="H96" i="1"/>
  <c r="Q95" i="1"/>
  <c r="P95" i="1"/>
  <c r="R95" i="1" s="1"/>
  <c r="AI13" i="1"/>
  <c r="AJ13" i="1" s="1"/>
  <c r="AK13" i="1" s="1"/>
  <c r="AH14" i="1"/>
  <c r="AQ13" i="1"/>
  <c r="AP13" i="1"/>
  <c r="AR13" i="1" s="1"/>
  <c r="AL13" i="1"/>
  <c r="AM13" i="1" s="1"/>
  <c r="AN13" i="1" s="1"/>
  <c r="M10" i="1"/>
  <c r="N10" i="1" s="1"/>
  <c r="AD97" i="1"/>
  <c r="AB97" i="1"/>
  <c r="U97" i="1"/>
  <c r="V97" i="1" s="1"/>
  <c r="W97" i="1" s="1"/>
  <c r="T98" i="1"/>
  <c r="AC97" i="1"/>
  <c r="X97" i="1"/>
  <c r="Y97" i="1" s="1"/>
  <c r="Z97" i="1" s="1"/>
  <c r="AI95" i="1"/>
  <c r="AJ95" i="1" s="1"/>
  <c r="AK95" i="1" s="1"/>
  <c r="AH96" i="1"/>
  <c r="AQ95" i="1"/>
  <c r="AP95" i="1"/>
  <c r="AR95" i="1" s="1"/>
  <c r="AL95" i="1"/>
  <c r="AM95" i="1" s="1"/>
  <c r="AN95" i="1" s="1"/>
  <c r="T13" i="1"/>
  <c r="AC12" i="1"/>
  <c r="AB12" i="1"/>
  <c r="AD12" i="1" s="1"/>
  <c r="X12" i="1"/>
  <c r="U12" i="1"/>
  <c r="V12" i="1" s="1"/>
  <c r="W12" i="1" s="1"/>
  <c r="A137" i="1"/>
  <c r="A150" i="1"/>
  <c r="A162" i="1" s="1"/>
  <c r="A176" i="1" s="1"/>
  <c r="B162" i="1"/>
  <c r="B176" i="1" s="1"/>
  <c r="B136" i="1"/>
  <c r="AM12" i="1"/>
  <c r="AN12" i="1" s="1"/>
  <c r="B25" i="1"/>
  <c r="A24" i="1"/>
  <c r="C24" i="1" s="1"/>
  <c r="AM94" i="1"/>
  <c r="AN94" i="1" s="1"/>
  <c r="L11" i="1"/>
  <c r="H12" i="1"/>
  <c r="Q11" i="1"/>
  <c r="I11" i="1"/>
  <c r="J11" i="1" s="1"/>
  <c r="K11" i="1" s="1"/>
  <c r="O11" i="1"/>
  <c r="P11" i="1" s="1"/>
  <c r="R11" i="1" s="1"/>
  <c r="Y11" i="1"/>
  <c r="Z11" i="1" s="1"/>
  <c r="A151" i="1" l="1"/>
  <c r="A163" i="1" s="1"/>
  <c r="A177" i="1" s="1"/>
  <c r="A138" i="1"/>
  <c r="B137" i="1"/>
  <c r="B163" i="1"/>
  <c r="B177" i="1" s="1"/>
  <c r="AL96" i="1"/>
  <c r="AH97" i="1"/>
  <c r="AQ96" i="1"/>
  <c r="AP96" i="1"/>
  <c r="AR96" i="1" s="1"/>
  <c r="AI96" i="1"/>
  <c r="AJ96" i="1" s="1"/>
  <c r="AK96" i="1" s="1"/>
  <c r="Y12" i="1"/>
  <c r="Z12" i="1" s="1"/>
  <c r="T99" i="1"/>
  <c r="AC98" i="1"/>
  <c r="U98" i="1"/>
  <c r="V98" i="1" s="1"/>
  <c r="W98" i="1" s="1"/>
  <c r="X98" i="1"/>
  <c r="Y98" i="1" s="1"/>
  <c r="Z98" i="1" s="1"/>
  <c r="AD98" i="1"/>
  <c r="AB98" i="1"/>
  <c r="B26" i="1"/>
  <c r="A25" i="1"/>
  <c r="C25" i="1" s="1"/>
  <c r="AL14" i="1"/>
  <c r="AI14" i="1"/>
  <c r="AJ14" i="1" s="1"/>
  <c r="AK14" i="1" s="1"/>
  <c r="AR14" i="1"/>
  <c r="AH15" i="1"/>
  <c r="AQ14" i="1"/>
  <c r="AP14" i="1"/>
  <c r="Q12" i="1"/>
  <c r="O12" i="1"/>
  <c r="P12" i="1" s="1"/>
  <c r="R12" i="1" s="1"/>
  <c r="I12" i="1"/>
  <c r="J12" i="1" s="1"/>
  <c r="K12" i="1" s="1"/>
  <c r="L12" i="1"/>
  <c r="M12" i="1" s="1"/>
  <c r="N12" i="1" s="1"/>
  <c r="H13" i="1"/>
  <c r="M11" i="1"/>
  <c r="N11" i="1" s="1"/>
  <c r="P96" i="1"/>
  <c r="R96" i="1" s="1"/>
  <c r="L96" i="1"/>
  <c r="I96" i="1"/>
  <c r="J96" i="1" s="1"/>
  <c r="K96" i="1" s="1"/>
  <c r="H97" i="1"/>
  <c r="Q96" i="1"/>
  <c r="T14" i="1"/>
  <c r="AC13" i="1"/>
  <c r="AB13" i="1"/>
  <c r="AD13" i="1" s="1"/>
  <c r="X13" i="1"/>
  <c r="U13" i="1"/>
  <c r="V13" i="1" s="1"/>
  <c r="W13" i="1" s="1"/>
  <c r="X99" i="1" l="1"/>
  <c r="T100" i="1"/>
  <c r="AC99" i="1"/>
  <c r="AB99" i="1"/>
  <c r="AD99" i="1" s="1"/>
  <c r="U99" i="1"/>
  <c r="V99" i="1" s="1"/>
  <c r="W99" i="1" s="1"/>
  <c r="H14" i="1"/>
  <c r="Q13" i="1"/>
  <c r="P13" i="1"/>
  <c r="R13" i="1" s="1"/>
  <c r="O13" i="1"/>
  <c r="L13" i="1"/>
  <c r="M13" i="1" s="1"/>
  <c r="N13" i="1" s="1"/>
  <c r="I13" i="1"/>
  <c r="J13" i="1" s="1"/>
  <c r="K13" i="1" s="1"/>
  <c r="AL15" i="1"/>
  <c r="AM15" i="1" s="1"/>
  <c r="AN15" i="1" s="1"/>
  <c r="AI15" i="1"/>
  <c r="AJ15" i="1" s="1"/>
  <c r="AK15" i="1" s="1"/>
  <c r="AH16" i="1"/>
  <c r="AQ15" i="1"/>
  <c r="AP15" i="1"/>
  <c r="AR15" i="1" s="1"/>
  <c r="AI97" i="1"/>
  <c r="AJ97" i="1" s="1"/>
  <c r="AK97" i="1" s="1"/>
  <c r="AH98" i="1"/>
  <c r="AQ97" i="1"/>
  <c r="AP97" i="1"/>
  <c r="AR97" i="1" s="1"/>
  <c r="AL97" i="1"/>
  <c r="AM97" i="1" s="1"/>
  <c r="AN97" i="1" s="1"/>
  <c r="B27" i="1"/>
  <c r="A26" i="1"/>
  <c r="C26" i="1" s="1"/>
  <c r="AM14" i="1"/>
  <c r="AN14" i="1" s="1"/>
  <c r="AM96" i="1"/>
  <c r="AN96" i="1" s="1"/>
  <c r="M96" i="1"/>
  <c r="N96" i="1" s="1"/>
  <c r="Y13" i="1"/>
  <c r="Z13" i="1" s="1"/>
  <c r="U14" i="1"/>
  <c r="V14" i="1" s="1"/>
  <c r="W14" i="1" s="1"/>
  <c r="T15" i="1"/>
  <c r="AC14" i="1"/>
  <c r="AB14" i="1"/>
  <c r="AD14" i="1" s="1"/>
  <c r="X14" i="1"/>
  <c r="A152" i="1"/>
  <c r="A164" i="1" s="1"/>
  <c r="A178" i="1" s="1"/>
  <c r="A139" i="1"/>
  <c r="B138" i="1"/>
  <c r="B164" i="1"/>
  <c r="B178" i="1" s="1"/>
  <c r="H98" i="1"/>
  <c r="Q97" i="1"/>
  <c r="P97" i="1"/>
  <c r="R97" i="1" s="1"/>
  <c r="L97" i="1"/>
  <c r="I97" i="1"/>
  <c r="J97" i="1" s="1"/>
  <c r="K97" i="1" s="1"/>
  <c r="M97" i="1" l="1"/>
  <c r="N97" i="1" s="1"/>
  <c r="AL98" i="1"/>
  <c r="AH99" i="1"/>
  <c r="AQ98" i="1"/>
  <c r="AP98" i="1"/>
  <c r="AR98" i="1" s="1"/>
  <c r="AI98" i="1"/>
  <c r="AJ98" i="1" s="1"/>
  <c r="AK98" i="1" s="1"/>
  <c r="I14" i="1"/>
  <c r="J14" i="1" s="1"/>
  <c r="K14" i="1" s="1"/>
  <c r="H15" i="1"/>
  <c r="Q14" i="1"/>
  <c r="P14" i="1"/>
  <c r="R14" i="1" s="1"/>
  <c r="O14" i="1"/>
  <c r="L14" i="1"/>
  <c r="P98" i="1"/>
  <c r="I98" i="1"/>
  <c r="J98" i="1" s="1"/>
  <c r="K98" i="1" s="1"/>
  <c r="R98" i="1"/>
  <c r="H99" i="1"/>
  <c r="Q98" i="1"/>
  <c r="L98" i="1"/>
  <c r="M98" i="1" s="1"/>
  <c r="N98" i="1" s="1"/>
  <c r="AH17" i="1"/>
  <c r="AQ16" i="1"/>
  <c r="AP16" i="1"/>
  <c r="AR16" i="1" s="1"/>
  <c r="AL16" i="1"/>
  <c r="AM16" i="1" s="1"/>
  <c r="AN16" i="1" s="1"/>
  <c r="AI16" i="1"/>
  <c r="AJ16" i="1" s="1"/>
  <c r="AK16" i="1" s="1"/>
  <c r="X15" i="1"/>
  <c r="U15" i="1"/>
  <c r="V15" i="1" s="1"/>
  <c r="W15" i="1" s="1"/>
  <c r="T16" i="1"/>
  <c r="AC15" i="1"/>
  <c r="AB15" i="1"/>
  <c r="AD15" i="1" s="1"/>
  <c r="A153" i="1"/>
  <c r="A165" i="1" s="1"/>
  <c r="A179" i="1" s="1"/>
  <c r="A140" i="1"/>
  <c r="B165" i="1"/>
  <c r="B179" i="1" s="1"/>
  <c r="B139" i="1"/>
  <c r="B28" i="1"/>
  <c r="A27" i="1"/>
  <c r="C27" i="1" s="1"/>
  <c r="T101" i="1"/>
  <c r="AC100" i="1"/>
  <c r="AB100" i="1"/>
  <c r="U100" i="1"/>
  <c r="V100" i="1" s="1"/>
  <c r="W100" i="1" s="1"/>
  <c r="AD100" i="1"/>
  <c r="X100" i="1"/>
  <c r="Y100" i="1" s="1"/>
  <c r="Z100" i="1" s="1"/>
  <c r="Y14" i="1"/>
  <c r="Z14" i="1" s="1"/>
  <c r="Y99" i="1"/>
  <c r="Z99" i="1" s="1"/>
  <c r="A154" i="1" l="1"/>
  <c r="A166" i="1" s="1"/>
  <c r="A180" i="1" s="1"/>
  <c r="A141" i="1"/>
  <c r="B140" i="1"/>
  <c r="B166" i="1"/>
  <c r="B180" i="1" s="1"/>
  <c r="L15" i="1"/>
  <c r="I15" i="1"/>
  <c r="J15" i="1" s="1"/>
  <c r="K15" i="1" s="1"/>
  <c r="H16" i="1"/>
  <c r="Q15" i="1"/>
  <c r="O15" i="1"/>
  <c r="P15" i="1" s="1"/>
  <c r="R15" i="1" s="1"/>
  <c r="AR17" i="1"/>
  <c r="AH18" i="1"/>
  <c r="AQ17" i="1"/>
  <c r="AP17" i="1"/>
  <c r="AL17" i="1"/>
  <c r="AI17" i="1"/>
  <c r="AJ17" i="1" s="1"/>
  <c r="AK17" i="1" s="1"/>
  <c r="L99" i="1"/>
  <c r="I99" i="1"/>
  <c r="J99" i="1" s="1"/>
  <c r="K99" i="1" s="1"/>
  <c r="H100" i="1"/>
  <c r="Q99" i="1"/>
  <c r="P99" i="1"/>
  <c r="R99" i="1" s="1"/>
  <c r="AB16" i="1"/>
  <c r="AD16" i="1" s="1"/>
  <c r="X16" i="1"/>
  <c r="U16" i="1"/>
  <c r="V16" i="1" s="1"/>
  <c r="W16" i="1" s="1"/>
  <c r="T17" i="1"/>
  <c r="AC16" i="1"/>
  <c r="AI99" i="1"/>
  <c r="AJ99" i="1" s="1"/>
  <c r="AK99" i="1" s="1"/>
  <c r="AL99" i="1"/>
  <c r="AH100" i="1"/>
  <c r="AQ99" i="1"/>
  <c r="AP99" i="1"/>
  <c r="AR99" i="1" s="1"/>
  <c r="AD101" i="1"/>
  <c r="AB101" i="1"/>
  <c r="AC101" i="1"/>
  <c r="X101" i="1"/>
  <c r="U101" i="1"/>
  <c r="V101" i="1" s="1"/>
  <c r="W101" i="1" s="1"/>
  <c r="T102" i="1"/>
  <c r="Y15" i="1"/>
  <c r="Z15" i="1" s="1"/>
  <c r="AM98" i="1"/>
  <c r="AN98" i="1" s="1"/>
  <c r="M14" i="1"/>
  <c r="N14" i="1" s="1"/>
  <c r="B29" i="1"/>
  <c r="A28" i="1"/>
  <c r="C28" i="1" s="1"/>
  <c r="O16" i="1" l="1"/>
  <c r="L16" i="1"/>
  <c r="M16" i="1" s="1"/>
  <c r="N16" i="1" s="1"/>
  <c r="I16" i="1"/>
  <c r="J16" i="1" s="1"/>
  <c r="K16" i="1" s="1"/>
  <c r="H17" i="1"/>
  <c r="Q16" i="1"/>
  <c r="P16" i="1"/>
  <c r="R16" i="1" s="1"/>
  <c r="P100" i="1"/>
  <c r="L100" i="1"/>
  <c r="M100" i="1" s="1"/>
  <c r="N100" i="1" s="1"/>
  <c r="H101" i="1"/>
  <c r="R100" i="1"/>
  <c r="Q100" i="1"/>
  <c r="I100" i="1"/>
  <c r="J100" i="1" s="1"/>
  <c r="K100" i="1" s="1"/>
  <c r="M99" i="1"/>
  <c r="N99" i="1" s="1"/>
  <c r="M15" i="1"/>
  <c r="N15" i="1" s="1"/>
  <c r="AM17" i="1"/>
  <c r="AN17" i="1" s="1"/>
  <c r="T18" i="1"/>
  <c r="AC17" i="1"/>
  <c r="AB17" i="1"/>
  <c r="AD17" i="1" s="1"/>
  <c r="X17" i="1"/>
  <c r="U17" i="1"/>
  <c r="V17" i="1" s="1"/>
  <c r="W17" i="1" s="1"/>
  <c r="Y101" i="1"/>
  <c r="Z101" i="1" s="1"/>
  <c r="B30" i="1"/>
  <c r="A29" i="1"/>
  <c r="C29" i="1" s="1"/>
  <c r="AL100" i="1"/>
  <c r="AH101" i="1"/>
  <c r="AQ100" i="1"/>
  <c r="AP100" i="1"/>
  <c r="AR100" i="1" s="1"/>
  <c r="AI100" i="1"/>
  <c r="AJ100" i="1" s="1"/>
  <c r="AK100" i="1" s="1"/>
  <c r="AM99" i="1"/>
  <c r="AN99" i="1" s="1"/>
  <c r="T103" i="1"/>
  <c r="AC102" i="1"/>
  <c r="U102" i="1"/>
  <c r="V102" i="1" s="1"/>
  <c r="W102" i="1" s="1"/>
  <c r="AD102" i="1"/>
  <c r="AB102" i="1"/>
  <c r="X102" i="1"/>
  <c r="A155" i="1"/>
  <c r="A167" i="1" s="1"/>
  <c r="A181" i="1" s="1"/>
  <c r="B141" i="1"/>
  <c r="B167" i="1"/>
  <c r="B181" i="1" s="1"/>
  <c r="Y16" i="1"/>
  <c r="Z16" i="1" s="1"/>
  <c r="AI18" i="1"/>
  <c r="AJ18" i="1" s="1"/>
  <c r="AK18" i="1" s="1"/>
  <c r="AH19" i="1"/>
  <c r="AQ18" i="1"/>
  <c r="AP18" i="1"/>
  <c r="AR18" i="1" s="1"/>
  <c r="AL18" i="1"/>
  <c r="AM18" i="1" s="1"/>
  <c r="AN18" i="1" s="1"/>
  <c r="H102" i="1" l="1"/>
  <c r="Q101" i="1"/>
  <c r="I101" i="1"/>
  <c r="J101" i="1" s="1"/>
  <c r="K101" i="1" s="1"/>
  <c r="P101" i="1"/>
  <c r="R101" i="1" s="1"/>
  <c r="L101" i="1"/>
  <c r="Y17" i="1"/>
  <c r="Z17" i="1" s="1"/>
  <c r="U18" i="1"/>
  <c r="V18" i="1" s="1"/>
  <c r="W18" i="1" s="1"/>
  <c r="T19" i="1"/>
  <c r="AC18" i="1"/>
  <c r="AB18" i="1"/>
  <c r="AD18" i="1" s="1"/>
  <c r="X18" i="1"/>
  <c r="H18" i="1"/>
  <c r="Q17" i="1"/>
  <c r="O17" i="1"/>
  <c r="P17" i="1" s="1"/>
  <c r="R17" i="1" s="1"/>
  <c r="L17" i="1"/>
  <c r="I17" i="1"/>
  <c r="J17" i="1" s="1"/>
  <c r="K17" i="1" s="1"/>
  <c r="X103" i="1"/>
  <c r="AB103" i="1"/>
  <c r="AD103" i="1" s="1"/>
  <c r="U103" i="1"/>
  <c r="V103" i="1" s="1"/>
  <c r="W103" i="1" s="1"/>
  <c r="T104" i="1"/>
  <c r="AC103" i="1"/>
  <c r="AI101" i="1"/>
  <c r="AJ101" i="1" s="1"/>
  <c r="AK101" i="1" s="1"/>
  <c r="AH102" i="1"/>
  <c r="AQ101" i="1"/>
  <c r="AP101" i="1"/>
  <c r="AR101" i="1" s="1"/>
  <c r="AL101" i="1"/>
  <c r="AM101" i="1" s="1"/>
  <c r="AN101" i="1" s="1"/>
  <c r="AL19" i="1"/>
  <c r="AI19" i="1"/>
  <c r="AJ19" i="1" s="1"/>
  <c r="AK19" i="1" s="1"/>
  <c r="AH20" i="1"/>
  <c r="AR19" i="1"/>
  <c r="AQ19" i="1"/>
  <c r="AP19" i="1"/>
  <c r="B31" i="1"/>
  <c r="A30" i="1"/>
  <c r="C30" i="1" s="1"/>
  <c r="Y102" i="1"/>
  <c r="Z102" i="1" s="1"/>
  <c r="AM100" i="1"/>
  <c r="AN100" i="1" s="1"/>
  <c r="U19" i="1" l="1"/>
  <c r="V19" i="1" s="1"/>
  <c r="W19" i="1" s="1"/>
  <c r="T20" i="1"/>
  <c r="AC19" i="1"/>
  <c r="AB19" i="1"/>
  <c r="AD19" i="1" s="1"/>
  <c r="X19" i="1"/>
  <c r="Y19" i="1" s="1"/>
  <c r="Z19" i="1" s="1"/>
  <c r="M101" i="1"/>
  <c r="N101" i="1" s="1"/>
  <c r="T105" i="1"/>
  <c r="AC104" i="1"/>
  <c r="AB104" i="1"/>
  <c r="AD104" i="1" s="1"/>
  <c r="X104" i="1"/>
  <c r="Y104" i="1" s="1"/>
  <c r="Z104" i="1" s="1"/>
  <c r="U104" i="1"/>
  <c r="V104" i="1" s="1"/>
  <c r="W104" i="1" s="1"/>
  <c r="AL20" i="1"/>
  <c r="AI20" i="1"/>
  <c r="AJ20" i="1" s="1"/>
  <c r="AK20" i="1" s="1"/>
  <c r="AH21" i="1"/>
  <c r="AQ20" i="1"/>
  <c r="AP20" i="1"/>
  <c r="AR20" i="1" s="1"/>
  <c r="Y103" i="1"/>
  <c r="Z103" i="1" s="1"/>
  <c r="AL102" i="1"/>
  <c r="AP102" i="1"/>
  <c r="AR102" i="1" s="1"/>
  <c r="AI102" i="1"/>
  <c r="AJ102" i="1" s="1"/>
  <c r="AK102" i="1" s="1"/>
  <c r="AH103" i="1"/>
  <c r="AQ102" i="1"/>
  <c r="P102" i="1"/>
  <c r="R102" i="1" s="1"/>
  <c r="I102" i="1"/>
  <c r="J102" i="1" s="1"/>
  <c r="K102" i="1" s="1"/>
  <c r="Q102" i="1"/>
  <c r="L102" i="1"/>
  <c r="M102" i="1" s="1"/>
  <c r="N102" i="1" s="1"/>
  <c r="H103" i="1"/>
  <c r="AM19" i="1"/>
  <c r="AN19" i="1" s="1"/>
  <c r="M17" i="1"/>
  <c r="N17" i="1" s="1"/>
  <c r="B32" i="1"/>
  <c r="A31" i="1"/>
  <c r="C31" i="1" s="1"/>
  <c r="I18" i="1"/>
  <c r="J18" i="1" s="1"/>
  <c r="K18" i="1" s="1"/>
  <c r="H19" i="1"/>
  <c r="Q18" i="1"/>
  <c r="O18" i="1"/>
  <c r="P18" i="1" s="1"/>
  <c r="R18" i="1" s="1"/>
  <c r="L18" i="1"/>
  <c r="M18" i="1" s="1"/>
  <c r="N18" i="1" s="1"/>
  <c r="Y18" i="1"/>
  <c r="Z18" i="1" s="1"/>
  <c r="L103" i="1" l="1"/>
  <c r="I103" i="1"/>
  <c r="J103" i="1" s="1"/>
  <c r="K103" i="1" s="1"/>
  <c r="H104" i="1"/>
  <c r="R103" i="1"/>
  <c r="Q103" i="1"/>
  <c r="P103" i="1"/>
  <c r="AB105" i="1"/>
  <c r="AD105" i="1" s="1"/>
  <c r="U105" i="1"/>
  <c r="V105" i="1" s="1"/>
  <c r="W105" i="1" s="1"/>
  <c r="T106" i="1"/>
  <c r="AC105" i="1"/>
  <c r="X105" i="1"/>
  <c r="AL21" i="1"/>
  <c r="AI21" i="1"/>
  <c r="AJ21" i="1" s="1"/>
  <c r="AK21" i="1" s="1"/>
  <c r="AH22" i="1"/>
  <c r="AR21" i="1"/>
  <c r="AQ21" i="1"/>
  <c r="AP21" i="1"/>
  <c r="B33" i="1"/>
  <c r="A32" i="1"/>
  <c r="C32" i="1" s="1"/>
  <c r="AM102" i="1"/>
  <c r="AN102" i="1" s="1"/>
  <c r="I19" i="1"/>
  <c r="J19" i="1" s="1"/>
  <c r="K19" i="1" s="1"/>
  <c r="H20" i="1"/>
  <c r="Q19" i="1"/>
  <c r="O19" i="1"/>
  <c r="P19" i="1" s="1"/>
  <c r="R19" i="1" s="1"/>
  <c r="L19" i="1"/>
  <c r="AM20" i="1"/>
  <c r="AN20" i="1" s="1"/>
  <c r="U20" i="1"/>
  <c r="V20" i="1" s="1"/>
  <c r="W20" i="1" s="1"/>
  <c r="T21" i="1"/>
  <c r="AC20" i="1"/>
  <c r="AB20" i="1"/>
  <c r="AD20" i="1" s="1"/>
  <c r="X20" i="1"/>
  <c r="Y20" i="1" s="1"/>
  <c r="Z20" i="1" s="1"/>
  <c r="AI103" i="1"/>
  <c r="AJ103" i="1" s="1"/>
  <c r="AK103" i="1" s="1"/>
  <c r="AH104" i="1"/>
  <c r="AQ103" i="1"/>
  <c r="AP103" i="1"/>
  <c r="AR103" i="1" s="1"/>
  <c r="AL103" i="1"/>
  <c r="Y105" i="1" l="1"/>
  <c r="Z105" i="1" s="1"/>
  <c r="I20" i="1"/>
  <c r="J20" i="1" s="1"/>
  <c r="K20" i="1" s="1"/>
  <c r="H21" i="1"/>
  <c r="Q20" i="1"/>
  <c r="O20" i="1"/>
  <c r="P20" i="1" s="1"/>
  <c r="R20" i="1" s="1"/>
  <c r="L20" i="1"/>
  <c r="M20" i="1" s="1"/>
  <c r="N20" i="1" s="1"/>
  <c r="U21" i="1"/>
  <c r="V21" i="1" s="1"/>
  <c r="W21" i="1" s="1"/>
  <c r="T22" i="1"/>
  <c r="AD21" i="1"/>
  <c r="AC21" i="1"/>
  <c r="AB21" i="1"/>
  <c r="X21" i="1"/>
  <c r="B34" i="1"/>
  <c r="A33" i="1"/>
  <c r="C33" i="1" s="1"/>
  <c r="T107" i="1"/>
  <c r="AC106" i="1"/>
  <c r="U106" i="1"/>
  <c r="V106" i="1" s="1"/>
  <c r="W106" i="1" s="1"/>
  <c r="AB106" i="1"/>
  <c r="AD106" i="1" s="1"/>
  <c r="X106" i="1"/>
  <c r="Y106" i="1" s="1"/>
  <c r="Z106" i="1" s="1"/>
  <c r="AM103" i="1"/>
  <c r="AN103" i="1" s="1"/>
  <c r="M19" i="1"/>
  <c r="N19" i="1" s="1"/>
  <c r="AL22" i="1"/>
  <c r="AI22" i="1"/>
  <c r="AJ22" i="1" s="1"/>
  <c r="AK22" i="1" s="1"/>
  <c r="AH23" i="1"/>
  <c r="AQ22" i="1"/>
  <c r="AP22" i="1"/>
  <c r="AR22" i="1" s="1"/>
  <c r="P104" i="1"/>
  <c r="L104" i="1"/>
  <c r="I104" i="1"/>
  <c r="J104" i="1" s="1"/>
  <c r="K104" i="1" s="1"/>
  <c r="H105" i="1"/>
  <c r="R104" i="1"/>
  <c r="Q104" i="1"/>
  <c r="AL104" i="1"/>
  <c r="AH105" i="1"/>
  <c r="AQ104" i="1"/>
  <c r="AP104" i="1"/>
  <c r="AR104" i="1" s="1"/>
  <c r="AI104" i="1"/>
  <c r="AJ104" i="1" s="1"/>
  <c r="AK104" i="1" s="1"/>
  <c r="AM21" i="1"/>
  <c r="AN21" i="1" s="1"/>
  <c r="M103" i="1"/>
  <c r="N103" i="1" s="1"/>
  <c r="U22" i="1" l="1"/>
  <c r="V22" i="1" s="1"/>
  <c r="W22" i="1" s="1"/>
  <c r="T23" i="1"/>
  <c r="AD22" i="1"/>
  <c r="AC22" i="1"/>
  <c r="AB22" i="1"/>
  <c r="X22" i="1"/>
  <c r="Y22" i="1" s="1"/>
  <c r="Z22" i="1" s="1"/>
  <c r="X107" i="1"/>
  <c r="T108" i="1"/>
  <c r="AC107" i="1"/>
  <c r="AB107" i="1"/>
  <c r="AD107" i="1" s="1"/>
  <c r="U107" i="1"/>
  <c r="V107" i="1" s="1"/>
  <c r="W107" i="1" s="1"/>
  <c r="H106" i="1"/>
  <c r="Q105" i="1"/>
  <c r="P105" i="1"/>
  <c r="R105" i="1" s="1"/>
  <c r="L105" i="1"/>
  <c r="I105" i="1"/>
  <c r="J105" i="1" s="1"/>
  <c r="K105" i="1" s="1"/>
  <c r="B35" i="1"/>
  <c r="A34" i="1"/>
  <c r="C34" i="1" s="1"/>
  <c r="M104" i="1"/>
  <c r="N104" i="1" s="1"/>
  <c r="Y21" i="1"/>
  <c r="Z21" i="1" s="1"/>
  <c r="AI105" i="1"/>
  <c r="AJ105" i="1" s="1"/>
  <c r="AK105" i="1" s="1"/>
  <c r="AH106" i="1"/>
  <c r="AQ105" i="1"/>
  <c r="AP105" i="1"/>
  <c r="AR105" i="1" s="1"/>
  <c r="AL105" i="1"/>
  <c r="AL23" i="1"/>
  <c r="AI23" i="1"/>
  <c r="AJ23" i="1" s="1"/>
  <c r="AK23" i="1" s="1"/>
  <c r="AH24" i="1"/>
  <c r="AQ23" i="1"/>
  <c r="AP23" i="1"/>
  <c r="AR23" i="1" s="1"/>
  <c r="I21" i="1"/>
  <c r="J21" i="1" s="1"/>
  <c r="K21" i="1" s="1"/>
  <c r="H22" i="1"/>
  <c r="Q21" i="1"/>
  <c r="O21" i="1"/>
  <c r="P21" i="1" s="1"/>
  <c r="R21" i="1" s="1"/>
  <c r="L21" i="1"/>
  <c r="AM104" i="1"/>
  <c r="AN104" i="1" s="1"/>
  <c r="AM22" i="1"/>
  <c r="AN22" i="1" s="1"/>
  <c r="I22" i="1" l="1"/>
  <c r="J22" i="1" s="1"/>
  <c r="K22" i="1" s="1"/>
  <c r="H23" i="1"/>
  <c r="Q22" i="1"/>
  <c r="O22" i="1"/>
  <c r="P22" i="1" s="1"/>
  <c r="R22" i="1" s="1"/>
  <c r="L22" i="1"/>
  <c r="M22" i="1" s="1"/>
  <c r="N22" i="1" s="1"/>
  <c r="U108" i="1"/>
  <c r="V108" i="1" s="1"/>
  <c r="W108" i="1" s="1"/>
  <c r="X108" i="1"/>
  <c r="T109" i="1"/>
  <c r="AD108" i="1"/>
  <c r="AC108" i="1"/>
  <c r="AB108" i="1"/>
  <c r="B36" i="1"/>
  <c r="A35" i="1"/>
  <c r="C35" i="1" s="1"/>
  <c r="Y107" i="1"/>
  <c r="Z107" i="1" s="1"/>
  <c r="AM23" i="1"/>
  <c r="AN23" i="1" s="1"/>
  <c r="M105" i="1"/>
  <c r="N105" i="1" s="1"/>
  <c r="AL24" i="1"/>
  <c r="AI24" i="1"/>
  <c r="AJ24" i="1" s="1"/>
  <c r="AK24" i="1" s="1"/>
  <c r="AH25" i="1"/>
  <c r="AQ24" i="1"/>
  <c r="AP24" i="1"/>
  <c r="AR24" i="1" s="1"/>
  <c r="AM105" i="1"/>
  <c r="AN105" i="1" s="1"/>
  <c r="AL106" i="1"/>
  <c r="AH107" i="1"/>
  <c r="AQ106" i="1"/>
  <c r="AP106" i="1"/>
  <c r="AR106" i="1" s="1"/>
  <c r="AI106" i="1"/>
  <c r="AJ106" i="1" s="1"/>
  <c r="AK106" i="1" s="1"/>
  <c r="M21" i="1"/>
  <c r="N21" i="1" s="1"/>
  <c r="P106" i="1"/>
  <c r="I106" i="1"/>
  <c r="J106" i="1" s="1"/>
  <c r="K106" i="1" s="1"/>
  <c r="R106" i="1"/>
  <c r="H107" i="1"/>
  <c r="Q106" i="1"/>
  <c r="L106" i="1"/>
  <c r="U23" i="1"/>
  <c r="V23" i="1" s="1"/>
  <c r="W23" i="1" s="1"/>
  <c r="T24" i="1"/>
  <c r="AC23" i="1"/>
  <c r="AB23" i="1"/>
  <c r="AD23" i="1" s="1"/>
  <c r="X23" i="1"/>
  <c r="Y23" i="1" s="1"/>
  <c r="Z23" i="1" s="1"/>
  <c r="AB109" i="1" l="1"/>
  <c r="X109" i="1"/>
  <c r="AD109" i="1"/>
  <c r="AC109" i="1"/>
  <c r="U109" i="1"/>
  <c r="V109" i="1" s="1"/>
  <c r="W109" i="1" s="1"/>
  <c r="T110" i="1"/>
  <c r="Y108" i="1"/>
  <c r="Z108" i="1" s="1"/>
  <c r="H108" i="1"/>
  <c r="L107" i="1"/>
  <c r="I107" i="1"/>
  <c r="J107" i="1" s="1"/>
  <c r="K107" i="1" s="1"/>
  <c r="Q107" i="1"/>
  <c r="P107" i="1"/>
  <c r="R107" i="1" s="1"/>
  <c r="AL25" i="1"/>
  <c r="AI25" i="1"/>
  <c r="AJ25" i="1" s="1"/>
  <c r="AK25" i="1" s="1"/>
  <c r="AH26" i="1"/>
  <c r="AQ25" i="1"/>
  <c r="AP25" i="1"/>
  <c r="AR25" i="1" s="1"/>
  <c r="AM24" i="1"/>
  <c r="AN24" i="1" s="1"/>
  <c r="U24" i="1"/>
  <c r="V24" i="1" s="1"/>
  <c r="W24" i="1" s="1"/>
  <c r="T25" i="1"/>
  <c r="AD24" i="1"/>
  <c r="AC24" i="1"/>
  <c r="AB24" i="1"/>
  <c r="X24" i="1"/>
  <c r="AI107" i="1"/>
  <c r="AJ107" i="1" s="1"/>
  <c r="AK107" i="1" s="1"/>
  <c r="AQ107" i="1"/>
  <c r="AP107" i="1"/>
  <c r="AL107" i="1"/>
  <c r="AM107" i="1" s="1"/>
  <c r="AN107" i="1" s="1"/>
  <c r="AH108" i="1"/>
  <c r="AR107" i="1"/>
  <c r="M106" i="1"/>
  <c r="N106" i="1" s="1"/>
  <c r="B37" i="1"/>
  <c r="A36" i="1"/>
  <c r="C36" i="1" s="1"/>
  <c r="I23" i="1"/>
  <c r="J23" i="1" s="1"/>
  <c r="K23" i="1" s="1"/>
  <c r="H24" i="1"/>
  <c r="Q23" i="1"/>
  <c r="O23" i="1"/>
  <c r="P23" i="1" s="1"/>
  <c r="R23" i="1" s="1"/>
  <c r="L23" i="1"/>
  <c r="AM106" i="1"/>
  <c r="AN106" i="1" s="1"/>
  <c r="M107" i="1" l="1"/>
  <c r="N107" i="1" s="1"/>
  <c r="L108" i="1"/>
  <c r="H109" i="1"/>
  <c r="Q108" i="1"/>
  <c r="P108" i="1"/>
  <c r="R108" i="1" s="1"/>
  <c r="I108" i="1"/>
  <c r="J108" i="1" s="1"/>
  <c r="K108" i="1" s="1"/>
  <c r="AC110" i="1"/>
  <c r="AB110" i="1"/>
  <c r="T111" i="1"/>
  <c r="AD110" i="1"/>
  <c r="X110" i="1"/>
  <c r="Y110" i="1" s="1"/>
  <c r="Z110" i="1" s="1"/>
  <c r="U110" i="1"/>
  <c r="V110" i="1" s="1"/>
  <c r="W110" i="1" s="1"/>
  <c r="M23" i="1"/>
  <c r="N23" i="1" s="1"/>
  <c r="AL26" i="1"/>
  <c r="AI26" i="1"/>
  <c r="AJ26" i="1" s="1"/>
  <c r="AK26" i="1" s="1"/>
  <c r="AH27" i="1"/>
  <c r="AQ26" i="1"/>
  <c r="AP26" i="1"/>
  <c r="AR26" i="1" s="1"/>
  <c r="B38" i="1"/>
  <c r="A37" i="1"/>
  <c r="C37" i="1" s="1"/>
  <c r="AP108" i="1"/>
  <c r="AR108" i="1" s="1"/>
  <c r="AL108" i="1"/>
  <c r="AM108" i="1" s="1"/>
  <c r="AN108" i="1" s="1"/>
  <c r="AH109" i="1"/>
  <c r="AQ108" i="1"/>
  <c r="AI108" i="1"/>
  <c r="AJ108" i="1" s="1"/>
  <c r="AK108" i="1" s="1"/>
  <c r="U25" i="1"/>
  <c r="V25" i="1" s="1"/>
  <c r="W25" i="1" s="1"/>
  <c r="T26" i="1"/>
  <c r="AC25" i="1"/>
  <c r="AB25" i="1"/>
  <c r="AD25" i="1" s="1"/>
  <c r="X25" i="1"/>
  <c r="Y25" i="1" s="1"/>
  <c r="Z25" i="1" s="1"/>
  <c r="Y24" i="1"/>
  <c r="Z24" i="1" s="1"/>
  <c r="AM25" i="1"/>
  <c r="AN25" i="1" s="1"/>
  <c r="Y109" i="1"/>
  <c r="Z109" i="1" s="1"/>
  <c r="I24" i="1"/>
  <c r="J24" i="1" s="1"/>
  <c r="K24" i="1" s="1"/>
  <c r="H25" i="1"/>
  <c r="Q24" i="1"/>
  <c r="O24" i="1"/>
  <c r="P24" i="1" s="1"/>
  <c r="R24" i="1" s="1"/>
  <c r="L24" i="1"/>
  <c r="M24" i="1" s="1"/>
  <c r="N24" i="1" s="1"/>
  <c r="U26" i="1" l="1"/>
  <c r="V26" i="1" s="1"/>
  <c r="W26" i="1" s="1"/>
  <c r="T27" i="1"/>
  <c r="AC26" i="1"/>
  <c r="AB26" i="1"/>
  <c r="AD26" i="1" s="1"/>
  <c r="X26" i="1"/>
  <c r="Y26" i="1" s="1"/>
  <c r="Z26" i="1" s="1"/>
  <c r="X111" i="1"/>
  <c r="AC111" i="1"/>
  <c r="AB111" i="1"/>
  <c r="AD111" i="1" s="1"/>
  <c r="U111" i="1"/>
  <c r="V111" i="1" s="1"/>
  <c r="W111" i="1" s="1"/>
  <c r="T112" i="1"/>
  <c r="AL27" i="1"/>
  <c r="AI27" i="1"/>
  <c r="AJ27" i="1" s="1"/>
  <c r="AK27" i="1" s="1"/>
  <c r="AH28" i="1"/>
  <c r="AQ27" i="1"/>
  <c r="AP27" i="1"/>
  <c r="AR27" i="1" s="1"/>
  <c r="AM26" i="1"/>
  <c r="AN26" i="1" s="1"/>
  <c r="I109" i="1"/>
  <c r="J109" i="1" s="1"/>
  <c r="K109" i="1" s="1"/>
  <c r="H110" i="1"/>
  <c r="Q109" i="1"/>
  <c r="P109" i="1"/>
  <c r="R109" i="1" s="1"/>
  <c r="L109" i="1"/>
  <c r="M108" i="1"/>
  <c r="N108" i="1" s="1"/>
  <c r="B39" i="1"/>
  <c r="A39" i="1" s="1"/>
  <c r="C39" i="1" s="1"/>
  <c r="A38" i="1"/>
  <c r="C38" i="1" s="1"/>
  <c r="I25" i="1"/>
  <c r="J25" i="1" s="1"/>
  <c r="K25" i="1" s="1"/>
  <c r="H26" i="1"/>
  <c r="Q25" i="1"/>
  <c r="O25" i="1"/>
  <c r="P25" i="1" s="1"/>
  <c r="R25" i="1" s="1"/>
  <c r="L25" i="1"/>
  <c r="M25" i="1" s="1"/>
  <c r="N25" i="1" s="1"/>
  <c r="AQ109" i="1"/>
  <c r="AP109" i="1"/>
  <c r="AH110" i="1"/>
  <c r="AR109" i="1"/>
  <c r="AL109" i="1"/>
  <c r="AI109" i="1"/>
  <c r="AJ109" i="1" s="1"/>
  <c r="AK109" i="1" s="1"/>
  <c r="Y111" i="1" l="1"/>
  <c r="Z111" i="1" s="1"/>
  <c r="P110" i="1"/>
  <c r="L110" i="1"/>
  <c r="M110" i="1" s="1"/>
  <c r="N110" i="1" s="1"/>
  <c r="Q110" i="1"/>
  <c r="I110" i="1"/>
  <c r="J110" i="1" s="1"/>
  <c r="K110" i="1" s="1"/>
  <c r="H111" i="1"/>
  <c r="R110" i="1"/>
  <c r="T113" i="1"/>
  <c r="AC112" i="1"/>
  <c r="AB112" i="1"/>
  <c r="AD112" i="1" s="1"/>
  <c r="X112" i="1"/>
  <c r="Y112" i="1" s="1"/>
  <c r="Z112" i="1" s="1"/>
  <c r="U112" i="1"/>
  <c r="V112" i="1" s="1"/>
  <c r="W112" i="1" s="1"/>
  <c r="I26" i="1"/>
  <c r="J26" i="1" s="1"/>
  <c r="K26" i="1" s="1"/>
  <c r="H27" i="1"/>
  <c r="Q26" i="1"/>
  <c r="O26" i="1"/>
  <c r="P26" i="1" s="1"/>
  <c r="R26" i="1" s="1"/>
  <c r="L26" i="1"/>
  <c r="M26" i="1" s="1"/>
  <c r="N26" i="1" s="1"/>
  <c r="AL28" i="1"/>
  <c r="AI28" i="1"/>
  <c r="AJ28" i="1" s="1"/>
  <c r="AK28" i="1" s="1"/>
  <c r="AH29" i="1"/>
  <c r="AR28" i="1"/>
  <c r="AQ28" i="1"/>
  <c r="AP28" i="1"/>
  <c r="AM109" i="1"/>
  <c r="AN109" i="1" s="1"/>
  <c r="AL110" i="1"/>
  <c r="AQ110" i="1"/>
  <c r="AP110" i="1"/>
  <c r="AR110" i="1" s="1"/>
  <c r="AI110" i="1"/>
  <c r="AJ110" i="1" s="1"/>
  <c r="AK110" i="1" s="1"/>
  <c r="AH111" i="1"/>
  <c r="U27" i="1"/>
  <c r="V27" i="1" s="1"/>
  <c r="W27" i="1" s="1"/>
  <c r="T28" i="1"/>
  <c r="AD27" i="1"/>
  <c r="AC27" i="1"/>
  <c r="AB27" i="1"/>
  <c r="X27" i="1"/>
  <c r="M109" i="1"/>
  <c r="N109" i="1" s="1"/>
  <c r="AM27" i="1"/>
  <c r="AN27" i="1" s="1"/>
  <c r="U28" i="1" l="1"/>
  <c r="V28" i="1" s="1"/>
  <c r="W28" i="1" s="1"/>
  <c r="T29" i="1"/>
  <c r="AD28" i="1"/>
  <c r="AC28" i="1"/>
  <c r="AB28" i="1"/>
  <c r="X28" i="1"/>
  <c r="Y28" i="1" s="1"/>
  <c r="Z28" i="1" s="1"/>
  <c r="X113" i="1"/>
  <c r="T114" i="1"/>
  <c r="AC113" i="1"/>
  <c r="AB113" i="1"/>
  <c r="AD113" i="1" s="1"/>
  <c r="U113" i="1"/>
  <c r="V113" i="1" s="1"/>
  <c r="W113" i="1" s="1"/>
  <c r="AM28" i="1"/>
  <c r="AN28" i="1" s="1"/>
  <c r="AH112" i="1"/>
  <c r="AR111" i="1"/>
  <c r="AQ111" i="1"/>
  <c r="AP111" i="1"/>
  <c r="AL111" i="1"/>
  <c r="AI111" i="1"/>
  <c r="AJ111" i="1" s="1"/>
  <c r="AK111" i="1" s="1"/>
  <c r="Q111" i="1"/>
  <c r="P111" i="1"/>
  <c r="H112" i="1"/>
  <c r="R111" i="1"/>
  <c r="L111" i="1"/>
  <c r="M111" i="1" s="1"/>
  <c r="N111" i="1" s="1"/>
  <c r="I111" i="1"/>
  <c r="J111" i="1" s="1"/>
  <c r="K111" i="1" s="1"/>
  <c r="AM110" i="1"/>
  <c r="AN110" i="1" s="1"/>
  <c r="AL29" i="1"/>
  <c r="AI29" i="1"/>
  <c r="AJ29" i="1" s="1"/>
  <c r="AK29" i="1" s="1"/>
  <c r="AH30" i="1"/>
  <c r="AQ29" i="1"/>
  <c r="AP29" i="1"/>
  <c r="AR29" i="1" s="1"/>
  <c r="Y27" i="1"/>
  <c r="Z27" i="1" s="1"/>
  <c r="I27" i="1"/>
  <c r="J27" i="1" s="1"/>
  <c r="K27" i="1" s="1"/>
  <c r="H28" i="1"/>
  <c r="Q27" i="1"/>
  <c r="O27" i="1"/>
  <c r="P27" i="1" s="1"/>
  <c r="R27" i="1" s="1"/>
  <c r="L27" i="1"/>
  <c r="I28" i="1" l="1"/>
  <c r="J28" i="1" s="1"/>
  <c r="K28" i="1" s="1"/>
  <c r="H29" i="1"/>
  <c r="Q28" i="1"/>
  <c r="O28" i="1"/>
  <c r="P28" i="1" s="1"/>
  <c r="R28" i="1" s="1"/>
  <c r="L28" i="1"/>
  <c r="M28" i="1" s="1"/>
  <c r="N28" i="1" s="1"/>
  <c r="U114" i="1"/>
  <c r="V114" i="1" s="1"/>
  <c r="W114" i="1" s="1"/>
  <c r="T115" i="1"/>
  <c r="AD114" i="1"/>
  <c r="X114" i="1"/>
  <c r="Y114" i="1" s="1"/>
  <c r="Z114" i="1" s="1"/>
  <c r="AC114" i="1"/>
  <c r="AB114" i="1"/>
  <c r="Y113" i="1"/>
  <c r="Z113" i="1" s="1"/>
  <c r="AM111" i="1"/>
  <c r="AN111" i="1" s="1"/>
  <c r="AL30" i="1"/>
  <c r="AI30" i="1"/>
  <c r="AJ30" i="1" s="1"/>
  <c r="AK30" i="1" s="1"/>
  <c r="AH31" i="1"/>
  <c r="AQ30" i="1"/>
  <c r="AP30" i="1"/>
  <c r="AR30" i="1" s="1"/>
  <c r="M27" i="1"/>
  <c r="N27" i="1" s="1"/>
  <c r="L112" i="1"/>
  <c r="M112" i="1" s="1"/>
  <c r="N112" i="1" s="1"/>
  <c r="R112" i="1"/>
  <c r="H113" i="1"/>
  <c r="Q112" i="1"/>
  <c r="P112" i="1"/>
  <c r="I112" i="1"/>
  <c r="J112" i="1" s="1"/>
  <c r="K112" i="1" s="1"/>
  <c r="AH113" i="1"/>
  <c r="AQ112" i="1"/>
  <c r="AP112" i="1"/>
  <c r="AR112" i="1" s="1"/>
  <c r="AL112" i="1"/>
  <c r="AI112" i="1"/>
  <c r="AJ112" i="1" s="1"/>
  <c r="AK112" i="1" s="1"/>
  <c r="U29" i="1"/>
  <c r="V29" i="1" s="1"/>
  <c r="W29" i="1" s="1"/>
  <c r="T30" i="1"/>
  <c r="AC29" i="1"/>
  <c r="AB29" i="1"/>
  <c r="AD29" i="1" s="1"/>
  <c r="X29" i="1"/>
  <c r="AM29" i="1"/>
  <c r="AN29" i="1" s="1"/>
  <c r="AM112" i="1" l="1"/>
  <c r="AN112" i="1" s="1"/>
  <c r="U30" i="1"/>
  <c r="V30" i="1" s="1"/>
  <c r="W30" i="1" s="1"/>
  <c r="T31" i="1"/>
  <c r="AC30" i="1"/>
  <c r="AB30" i="1"/>
  <c r="AD30" i="1" s="1"/>
  <c r="X30" i="1"/>
  <c r="Y30" i="1" s="1"/>
  <c r="Z30" i="1" s="1"/>
  <c r="AB115" i="1"/>
  <c r="X115" i="1"/>
  <c r="U115" i="1"/>
  <c r="V115" i="1" s="1"/>
  <c r="W115" i="1" s="1"/>
  <c r="T116" i="1"/>
  <c r="AD115" i="1"/>
  <c r="AC115" i="1"/>
  <c r="AL31" i="1"/>
  <c r="AI31" i="1"/>
  <c r="AJ31" i="1" s="1"/>
  <c r="AK31" i="1" s="1"/>
  <c r="AH32" i="1"/>
  <c r="AQ31" i="1"/>
  <c r="AP31" i="1"/>
  <c r="AR31" i="1" s="1"/>
  <c r="AI113" i="1"/>
  <c r="AJ113" i="1" s="1"/>
  <c r="AK113" i="1" s="1"/>
  <c r="AH114" i="1"/>
  <c r="AQ113" i="1"/>
  <c r="AP113" i="1"/>
  <c r="AR113" i="1" s="1"/>
  <c r="AL113" i="1"/>
  <c r="Y29" i="1"/>
  <c r="Z29" i="1" s="1"/>
  <c r="AM30" i="1"/>
  <c r="AN30" i="1" s="1"/>
  <c r="I29" i="1"/>
  <c r="J29" i="1" s="1"/>
  <c r="K29" i="1" s="1"/>
  <c r="H30" i="1"/>
  <c r="Q29" i="1"/>
  <c r="O29" i="1"/>
  <c r="P29" i="1" s="1"/>
  <c r="R29" i="1" s="1"/>
  <c r="L29" i="1"/>
  <c r="M29" i="1" s="1"/>
  <c r="N29" i="1" s="1"/>
  <c r="H114" i="1"/>
  <c r="R113" i="1"/>
  <c r="Q113" i="1"/>
  <c r="I113" i="1"/>
  <c r="J113" i="1" s="1"/>
  <c r="K113" i="1" s="1"/>
  <c r="P113" i="1"/>
  <c r="L113" i="1"/>
  <c r="Y115" i="1" l="1"/>
  <c r="Z115" i="1" s="1"/>
  <c r="AC116" i="1"/>
  <c r="U116" i="1"/>
  <c r="V116" i="1" s="1"/>
  <c r="W116" i="1" s="1"/>
  <c r="T117" i="1"/>
  <c r="X116" i="1"/>
  <c r="AB116" i="1"/>
  <c r="AD116" i="1" s="1"/>
  <c r="I30" i="1"/>
  <c r="J30" i="1" s="1"/>
  <c r="K30" i="1" s="1"/>
  <c r="H31" i="1"/>
  <c r="Q30" i="1"/>
  <c r="P30" i="1"/>
  <c r="R30" i="1" s="1"/>
  <c r="O30" i="1"/>
  <c r="L30" i="1"/>
  <c r="L114" i="1"/>
  <c r="H115" i="1"/>
  <c r="Q114" i="1"/>
  <c r="P114" i="1"/>
  <c r="R114" i="1" s="1"/>
  <c r="I114" i="1"/>
  <c r="J114" i="1" s="1"/>
  <c r="K114" i="1" s="1"/>
  <c r="M113" i="1"/>
  <c r="N113" i="1" s="1"/>
  <c r="AL32" i="1"/>
  <c r="AI32" i="1"/>
  <c r="AJ32" i="1" s="1"/>
  <c r="AK32" i="1" s="1"/>
  <c r="AH33" i="1"/>
  <c r="AQ32" i="1"/>
  <c r="AP32" i="1"/>
  <c r="AR32" i="1" s="1"/>
  <c r="U31" i="1"/>
  <c r="V31" i="1" s="1"/>
  <c r="W31" i="1" s="1"/>
  <c r="T32" i="1"/>
  <c r="AC31" i="1"/>
  <c r="AB31" i="1"/>
  <c r="AD31" i="1" s="1"/>
  <c r="X31" i="1"/>
  <c r="Y31" i="1" s="1"/>
  <c r="Z31" i="1" s="1"/>
  <c r="AP114" i="1"/>
  <c r="AR114" i="1" s="1"/>
  <c r="AL114" i="1"/>
  <c r="AI114" i="1"/>
  <c r="AJ114" i="1" s="1"/>
  <c r="AK114" i="1" s="1"/>
  <c r="AH115" i="1"/>
  <c r="AQ114" i="1"/>
  <c r="AM31" i="1"/>
  <c r="AN31" i="1" s="1"/>
  <c r="AM113" i="1"/>
  <c r="AN113" i="1" s="1"/>
  <c r="I31" i="1" l="1"/>
  <c r="J31" i="1" s="1"/>
  <c r="K31" i="1" s="1"/>
  <c r="H32" i="1"/>
  <c r="Q31" i="1"/>
  <c r="O31" i="1"/>
  <c r="P31" i="1" s="1"/>
  <c r="R31" i="1" s="1"/>
  <c r="L31" i="1"/>
  <c r="M31" i="1" s="1"/>
  <c r="N31" i="1" s="1"/>
  <c r="AM114" i="1"/>
  <c r="AN114" i="1" s="1"/>
  <c r="AM32" i="1"/>
  <c r="AN32" i="1" s="1"/>
  <c r="U32" i="1"/>
  <c r="V32" i="1" s="1"/>
  <c r="W32" i="1" s="1"/>
  <c r="T33" i="1"/>
  <c r="AD32" i="1"/>
  <c r="AC32" i="1"/>
  <c r="AB32" i="1"/>
  <c r="X32" i="1"/>
  <c r="Y116" i="1"/>
  <c r="Z116" i="1" s="1"/>
  <c r="I115" i="1"/>
  <c r="J115" i="1" s="1"/>
  <c r="K115" i="1" s="1"/>
  <c r="H116" i="1"/>
  <c r="Q115" i="1"/>
  <c r="P115" i="1"/>
  <c r="R115" i="1" s="1"/>
  <c r="L115" i="1"/>
  <c r="M115" i="1" s="1"/>
  <c r="N115" i="1" s="1"/>
  <c r="T118" i="1"/>
  <c r="AD117" i="1"/>
  <c r="AB117" i="1"/>
  <c r="X117" i="1"/>
  <c r="AC117" i="1"/>
  <c r="U117" i="1"/>
  <c r="V117" i="1" s="1"/>
  <c r="W117" i="1" s="1"/>
  <c r="AL33" i="1"/>
  <c r="AI33" i="1"/>
  <c r="AJ33" i="1" s="1"/>
  <c r="AK33" i="1" s="1"/>
  <c r="AH34" i="1"/>
  <c r="AQ33" i="1"/>
  <c r="AP33" i="1"/>
  <c r="AR33" i="1" s="1"/>
  <c r="M114" i="1"/>
  <c r="N114" i="1" s="1"/>
  <c r="M30" i="1"/>
  <c r="N30" i="1" s="1"/>
  <c r="AQ115" i="1"/>
  <c r="AI115" i="1"/>
  <c r="AJ115" i="1" s="1"/>
  <c r="AK115" i="1" s="1"/>
  <c r="AH116" i="1"/>
  <c r="AL115" i="1"/>
  <c r="AM115" i="1" s="1"/>
  <c r="AN115" i="1" s="1"/>
  <c r="AP115" i="1"/>
  <c r="AR115" i="1"/>
  <c r="U33" i="1" l="1"/>
  <c r="V33" i="1" s="1"/>
  <c r="W33" i="1" s="1"/>
  <c r="T34" i="1"/>
  <c r="AC33" i="1"/>
  <c r="AB33" i="1"/>
  <c r="AD33" i="1" s="1"/>
  <c r="X33" i="1"/>
  <c r="Y33" i="1" s="1"/>
  <c r="Z33" i="1" s="1"/>
  <c r="P116" i="1"/>
  <c r="L116" i="1"/>
  <c r="I116" i="1"/>
  <c r="J116" i="1" s="1"/>
  <c r="K116" i="1" s="1"/>
  <c r="R116" i="1"/>
  <c r="Q116" i="1"/>
  <c r="H117" i="1"/>
  <c r="AL34" i="1"/>
  <c r="AI34" i="1"/>
  <c r="AJ34" i="1" s="1"/>
  <c r="AK34" i="1" s="1"/>
  <c r="AH35" i="1"/>
  <c r="AQ34" i="1"/>
  <c r="AP34" i="1"/>
  <c r="AR34" i="1" s="1"/>
  <c r="AM33" i="1"/>
  <c r="AN33" i="1" s="1"/>
  <c r="AB118" i="1"/>
  <c r="AD118" i="1" s="1"/>
  <c r="X118" i="1"/>
  <c r="T119" i="1"/>
  <c r="U118" i="1"/>
  <c r="V118" i="1" s="1"/>
  <c r="W118" i="1" s="1"/>
  <c r="AC118" i="1"/>
  <c r="AP116" i="1"/>
  <c r="AR116" i="1" s="1"/>
  <c r="AL116" i="1"/>
  <c r="AH117" i="1"/>
  <c r="AQ116" i="1"/>
  <c r="AI116" i="1"/>
  <c r="AJ116" i="1" s="1"/>
  <c r="AK116" i="1" s="1"/>
  <c r="Y32" i="1"/>
  <c r="Z32" i="1" s="1"/>
  <c r="Y117" i="1"/>
  <c r="Z117" i="1" s="1"/>
  <c r="I32" i="1"/>
  <c r="J32" i="1" s="1"/>
  <c r="K32" i="1" s="1"/>
  <c r="H33" i="1"/>
  <c r="Q32" i="1"/>
  <c r="O32" i="1"/>
  <c r="P32" i="1" s="1"/>
  <c r="R32" i="1" s="1"/>
  <c r="L32" i="1"/>
  <c r="Y118" i="1" l="1"/>
  <c r="Z118" i="1" s="1"/>
  <c r="U119" i="1"/>
  <c r="V119" i="1" s="1"/>
  <c r="W119" i="1" s="1"/>
  <c r="T120" i="1"/>
  <c r="AC119" i="1"/>
  <c r="AB119" i="1"/>
  <c r="AD119" i="1"/>
  <c r="X119" i="1"/>
  <c r="Y119" i="1" s="1"/>
  <c r="Z119" i="1" s="1"/>
  <c r="M116" i="1"/>
  <c r="N116" i="1" s="1"/>
  <c r="AQ117" i="1"/>
  <c r="AL117" i="1"/>
  <c r="AI117" i="1"/>
  <c r="AJ117" i="1" s="1"/>
  <c r="AK117" i="1" s="1"/>
  <c r="AR117" i="1"/>
  <c r="AH118" i="1"/>
  <c r="AP117" i="1"/>
  <c r="AM116" i="1"/>
  <c r="AN116" i="1" s="1"/>
  <c r="I33" i="1"/>
  <c r="J33" i="1" s="1"/>
  <c r="K33" i="1" s="1"/>
  <c r="H34" i="1"/>
  <c r="Q33" i="1"/>
  <c r="O33" i="1"/>
  <c r="P33" i="1" s="1"/>
  <c r="R33" i="1" s="1"/>
  <c r="L33" i="1"/>
  <c r="M33" i="1" s="1"/>
  <c r="N33" i="1" s="1"/>
  <c r="AL35" i="1"/>
  <c r="AI35" i="1"/>
  <c r="AJ35" i="1" s="1"/>
  <c r="AK35" i="1" s="1"/>
  <c r="AH36" i="1"/>
  <c r="AQ35" i="1"/>
  <c r="AP35" i="1"/>
  <c r="AR35" i="1" s="1"/>
  <c r="Q117" i="1"/>
  <c r="I117" i="1"/>
  <c r="J117" i="1" s="1"/>
  <c r="K117" i="1" s="1"/>
  <c r="P117" i="1"/>
  <c r="R117" i="1" s="1"/>
  <c r="H118" i="1"/>
  <c r="L117" i="1"/>
  <c r="M117" i="1" s="1"/>
  <c r="N117" i="1" s="1"/>
  <c r="U34" i="1"/>
  <c r="V34" i="1" s="1"/>
  <c r="W34" i="1" s="1"/>
  <c r="T35" i="1"/>
  <c r="AC34" i="1"/>
  <c r="AB34" i="1"/>
  <c r="AD34" i="1" s="1"/>
  <c r="X34" i="1"/>
  <c r="M32" i="1"/>
  <c r="N32" i="1" s="1"/>
  <c r="AM34" i="1"/>
  <c r="AN34" i="1" s="1"/>
  <c r="AM117" i="1" l="1"/>
  <c r="AN117" i="1" s="1"/>
  <c r="AM35" i="1"/>
  <c r="AN35" i="1" s="1"/>
  <c r="I34" i="1"/>
  <c r="J34" i="1" s="1"/>
  <c r="K34" i="1" s="1"/>
  <c r="H35" i="1"/>
  <c r="Q34" i="1"/>
  <c r="O34" i="1"/>
  <c r="P34" i="1" s="1"/>
  <c r="R34" i="1" s="1"/>
  <c r="L34" i="1"/>
  <c r="M34" i="1" s="1"/>
  <c r="N34" i="1" s="1"/>
  <c r="Y34" i="1"/>
  <c r="Z34" i="1" s="1"/>
  <c r="X120" i="1"/>
  <c r="Y120" i="1" s="1"/>
  <c r="Z120" i="1" s="1"/>
  <c r="T121" i="1"/>
  <c r="AB120" i="1"/>
  <c r="AD120" i="1" s="1"/>
  <c r="AC120" i="1"/>
  <c r="U120" i="1"/>
  <c r="V120" i="1" s="1"/>
  <c r="W120" i="1" s="1"/>
  <c r="H119" i="1"/>
  <c r="Q118" i="1"/>
  <c r="L118" i="1"/>
  <c r="I118" i="1"/>
  <c r="J118" i="1" s="1"/>
  <c r="K118" i="1" s="1"/>
  <c r="P118" i="1"/>
  <c r="R118" i="1"/>
  <c r="U35" i="1"/>
  <c r="V35" i="1" s="1"/>
  <c r="W35" i="1" s="1"/>
  <c r="T36" i="1"/>
  <c r="AC35" i="1"/>
  <c r="AB35" i="1"/>
  <c r="AD35" i="1" s="1"/>
  <c r="X35" i="1"/>
  <c r="AL36" i="1"/>
  <c r="AI36" i="1"/>
  <c r="AJ36" i="1" s="1"/>
  <c r="AK36" i="1" s="1"/>
  <c r="AH37" i="1"/>
  <c r="AQ36" i="1"/>
  <c r="AP36" i="1"/>
  <c r="AR36" i="1" s="1"/>
  <c r="AI118" i="1"/>
  <c r="AJ118" i="1" s="1"/>
  <c r="AK118" i="1" s="1"/>
  <c r="AH119" i="1"/>
  <c r="AQ118" i="1"/>
  <c r="AP118" i="1"/>
  <c r="AR118" i="1" s="1"/>
  <c r="AL118" i="1"/>
  <c r="AL119" i="1" l="1"/>
  <c r="AH120" i="1"/>
  <c r="AQ119" i="1"/>
  <c r="AP119" i="1"/>
  <c r="AR119" i="1" s="1"/>
  <c r="AI119" i="1"/>
  <c r="AJ119" i="1" s="1"/>
  <c r="AK119" i="1" s="1"/>
  <c r="U36" i="1"/>
  <c r="V36" i="1" s="1"/>
  <c r="W36" i="1" s="1"/>
  <c r="T37" i="1"/>
  <c r="AC36" i="1"/>
  <c r="AB36" i="1"/>
  <c r="AD36" i="1" s="1"/>
  <c r="X36" i="1"/>
  <c r="Y36" i="1" s="1"/>
  <c r="Z36" i="1" s="1"/>
  <c r="AB121" i="1"/>
  <c r="X121" i="1"/>
  <c r="U121" i="1"/>
  <c r="V121" i="1" s="1"/>
  <c r="W121" i="1" s="1"/>
  <c r="T122" i="1"/>
  <c r="AD121" i="1"/>
  <c r="AC121" i="1"/>
  <c r="AL37" i="1"/>
  <c r="AI37" i="1"/>
  <c r="AJ37" i="1" s="1"/>
  <c r="AK37" i="1" s="1"/>
  <c r="AQ37" i="1"/>
  <c r="AP37" i="1"/>
  <c r="AR37" i="1" s="1"/>
  <c r="AH38" i="1"/>
  <c r="M118" i="1"/>
  <c r="N118" i="1" s="1"/>
  <c r="AM36" i="1"/>
  <c r="AN36" i="1" s="1"/>
  <c r="R119" i="1"/>
  <c r="P119" i="1"/>
  <c r="L119" i="1"/>
  <c r="Q119" i="1"/>
  <c r="H120" i="1"/>
  <c r="I119" i="1"/>
  <c r="J119" i="1" s="1"/>
  <c r="K119" i="1" s="1"/>
  <c r="AM118" i="1"/>
  <c r="AN118" i="1" s="1"/>
  <c r="Y35" i="1"/>
  <c r="Z35" i="1" s="1"/>
  <c r="I35" i="1"/>
  <c r="J35" i="1" s="1"/>
  <c r="K35" i="1" s="1"/>
  <c r="H36" i="1"/>
  <c r="Q35" i="1"/>
  <c r="P35" i="1"/>
  <c r="R35" i="1" s="1"/>
  <c r="O35" i="1"/>
  <c r="L35" i="1"/>
  <c r="T38" i="1" l="1"/>
  <c r="U37" i="1"/>
  <c r="V37" i="1" s="1"/>
  <c r="W37" i="1" s="1"/>
  <c r="AC37" i="1"/>
  <c r="AB37" i="1"/>
  <c r="AD37" i="1" s="1"/>
  <c r="X37" i="1"/>
  <c r="Y37" i="1" s="1"/>
  <c r="Z37" i="1" s="1"/>
  <c r="M35" i="1"/>
  <c r="N35" i="1" s="1"/>
  <c r="M119" i="1"/>
  <c r="N119" i="1" s="1"/>
  <c r="AQ38" i="1"/>
  <c r="AI38" i="1"/>
  <c r="AJ38" i="1" s="1"/>
  <c r="AK38" i="1" s="1"/>
  <c r="AR38" i="1"/>
  <c r="AH39" i="1"/>
  <c r="AP38" i="1"/>
  <c r="AL38" i="1"/>
  <c r="I120" i="1"/>
  <c r="J120" i="1" s="1"/>
  <c r="K120" i="1" s="1"/>
  <c r="H121" i="1"/>
  <c r="Q120" i="1"/>
  <c r="P120" i="1"/>
  <c r="R120" i="1" s="1"/>
  <c r="L120" i="1"/>
  <c r="M120" i="1" s="1"/>
  <c r="N120" i="1" s="1"/>
  <c r="T123" i="1"/>
  <c r="AB122" i="1"/>
  <c r="AD122" i="1" s="1"/>
  <c r="X122" i="1"/>
  <c r="Y122" i="1" s="1"/>
  <c r="Z122" i="1" s="1"/>
  <c r="AC122" i="1"/>
  <c r="U122" i="1"/>
  <c r="V122" i="1" s="1"/>
  <c r="W122" i="1" s="1"/>
  <c r="AM37" i="1"/>
  <c r="AN37" i="1" s="1"/>
  <c r="AI120" i="1"/>
  <c r="AJ120" i="1" s="1"/>
  <c r="AK120" i="1" s="1"/>
  <c r="AQ120" i="1"/>
  <c r="AL120" i="1"/>
  <c r="AM120" i="1" s="1"/>
  <c r="AN120" i="1" s="1"/>
  <c r="AP120" i="1"/>
  <c r="AR120" i="1" s="1"/>
  <c r="AH121" i="1"/>
  <c r="Y121" i="1"/>
  <c r="Z121" i="1" s="1"/>
  <c r="I36" i="1"/>
  <c r="J36" i="1" s="1"/>
  <c r="K36" i="1" s="1"/>
  <c r="H37" i="1"/>
  <c r="Q36" i="1"/>
  <c r="O36" i="1"/>
  <c r="P36" i="1" s="1"/>
  <c r="R36" i="1" s="1"/>
  <c r="L36" i="1"/>
  <c r="AM119" i="1"/>
  <c r="AN119" i="1" s="1"/>
  <c r="I37" i="1" l="1"/>
  <c r="J37" i="1" s="1"/>
  <c r="K37" i="1" s="1"/>
  <c r="H38" i="1"/>
  <c r="Q37" i="1"/>
  <c r="O37" i="1"/>
  <c r="P37" i="1" s="1"/>
  <c r="R37" i="1" s="1"/>
  <c r="L37" i="1"/>
  <c r="M37" i="1" s="1"/>
  <c r="N37" i="1" s="1"/>
  <c r="AQ121" i="1"/>
  <c r="AI121" i="1"/>
  <c r="AJ121" i="1" s="1"/>
  <c r="AK121" i="1" s="1"/>
  <c r="AP121" i="1"/>
  <c r="AR121" i="1" s="1"/>
  <c r="AH122" i="1"/>
  <c r="AL121" i="1"/>
  <c r="AM121" i="1" s="1"/>
  <c r="AN121" i="1" s="1"/>
  <c r="M36" i="1"/>
  <c r="N36" i="1" s="1"/>
  <c r="AH40" i="1"/>
  <c r="AQ39" i="1"/>
  <c r="AI39" i="1"/>
  <c r="AJ39" i="1" s="1"/>
  <c r="AK39" i="1" s="1"/>
  <c r="AP39" i="1"/>
  <c r="AR39" i="1" s="1"/>
  <c r="AL39" i="1"/>
  <c r="AM39" i="1" s="1"/>
  <c r="AN39" i="1" s="1"/>
  <c r="I121" i="1"/>
  <c r="J121" i="1" s="1"/>
  <c r="K121" i="1" s="1"/>
  <c r="Q121" i="1"/>
  <c r="P121" i="1"/>
  <c r="R121" i="1" s="1"/>
  <c r="L121" i="1"/>
  <c r="H122" i="1"/>
  <c r="AM38" i="1"/>
  <c r="AN38" i="1" s="1"/>
  <c r="T124" i="1"/>
  <c r="AB123" i="1"/>
  <c r="AD123" i="1" s="1"/>
  <c r="X123" i="1"/>
  <c r="AC123" i="1"/>
  <c r="U123" i="1"/>
  <c r="V123" i="1" s="1"/>
  <c r="W123" i="1" s="1"/>
  <c r="AB38" i="1"/>
  <c r="T39" i="1"/>
  <c r="AD38" i="1"/>
  <c r="X38" i="1"/>
  <c r="U38" i="1"/>
  <c r="V38" i="1" s="1"/>
  <c r="W38" i="1" s="1"/>
  <c r="AC38" i="1"/>
  <c r="AH123" i="1" l="1"/>
  <c r="AQ122" i="1"/>
  <c r="AL122" i="1"/>
  <c r="AI122" i="1"/>
  <c r="AJ122" i="1" s="1"/>
  <c r="AK122" i="1" s="1"/>
  <c r="AP122" i="1"/>
  <c r="AR122" i="1" s="1"/>
  <c r="AP40" i="1"/>
  <c r="AR40" i="1" s="1"/>
  <c r="AL40" i="1"/>
  <c r="AQ40" i="1"/>
  <c r="AH41" i="1"/>
  <c r="AI40" i="1"/>
  <c r="AJ40" i="1" s="1"/>
  <c r="AK40" i="1" s="1"/>
  <c r="AB39" i="1"/>
  <c r="X39" i="1"/>
  <c r="U39" i="1"/>
  <c r="V39" i="1" s="1"/>
  <c r="W39" i="1" s="1"/>
  <c r="AD39" i="1"/>
  <c r="T40" i="1"/>
  <c r="AC39" i="1"/>
  <c r="Y123" i="1"/>
  <c r="Z123" i="1" s="1"/>
  <c r="U124" i="1"/>
  <c r="V124" i="1" s="1"/>
  <c r="W124" i="1" s="1"/>
  <c r="T125" i="1"/>
  <c r="AC124" i="1"/>
  <c r="AB124" i="1"/>
  <c r="AD124" i="1" s="1"/>
  <c r="X124" i="1"/>
  <c r="Q122" i="1"/>
  <c r="I122" i="1"/>
  <c r="J122" i="1" s="1"/>
  <c r="K122" i="1" s="1"/>
  <c r="P122" i="1"/>
  <c r="R122" i="1" s="1"/>
  <c r="L122" i="1"/>
  <c r="M122" i="1" s="1"/>
  <c r="N122" i="1" s="1"/>
  <c r="H123" i="1"/>
  <c r="O38" i="1"/>
  <c r="P38" i="1" s="1"/>
  <c r="R38" i="1" s="1"/>
  <c r="H39" i="1"/>
  <c r="Q38" i="1"/>
  <c r="I38" i="1"/>
  <c r="J38" i="1" s="1"/>
  <c r="K38" i="1" s="1"/>
  <c r="L38" i="1"/>
  <c r="Y38" i="1"/>
  <c r="Z38" i="1" s="1"/>
  <c r="M121" i="1"/>
  <c r="N121" i="1" s="1"/>
  <c r="AM40" i="1" l="1"/>
  <c r="AN40" i="1" s="1"/>
  <c r="AI41" i="1"/>
  <c r="AJ41" i="1" s="1"/>
  <c r="AK41" i="1" s="1"/>
  <c r="AH42" i="1"/>
  <c r="AQ41" i="1"/>
  <c r="AP41" i="1"/>
  <c r="AL41" i="1"/>
  <c r="AM41" i="1" s="1"/>
  <c r="AN41" i="1" s="1"/>
  <c r="AR41" i="1"/>
  <c r="X125" i="1"/>
  <c r="Y125" i="1" s="1"/>
  <c r="Z125" i="1" s="1"/>
  <c r="T126" i="1"/>
  <c r="AC125" i="1"/>
  <c r="AB125" i="1"/>
  <c r="AD125" i="1" s="1"/>
  <c r="U125" i="1"/>
  <c r="V125" i="1" s="1"/>
  <c r="W125" i="1" s="1"/>
  <c r="H124" i="1"/>
  <c r="Q123" i="1"/>
  <c r="L123" i="1"/>
  <c r="I123" i="1"/>
  <c r="J123" i="1" s="1"/>
  <c r="K123" i="1" s="1"/>
  <c r="P123" i="1"/>
  <c r="R123" i="1" s="1"/>
  <c r="T41" i="1"/>
  <c r="AC40" i="1"/>
  <c r="X40" i="1"/>
  <c r="U40" i="1"/>
  <c r="V40" i="1" s="1"/>
  <c r="W40" i="1" s="1"/>
  <c r="AD40" i="1"/>
  <c r="AB40" i="1"/>
  <c r="AM122" i="1"/>
  <c r="AN122" i="1" s="1"/>
  <c r="M38" i="1"/>
  <c r="N38" i="1" s="1"/>
  <c r="Y39" i="1"/>
  <c r="Z39" i="1" s="1"/>
  <c r="O39" i="1"/>
  <c r="I39" i="1"/>
  <c r="J39" i="1" s="1"/>
  <c r="K39" i="1" s="1"/>
  <c r="H40" i="1"/>
  <c r="Q39" i="1"/>
  <c r="P39" i="1"/>
  <c r="L39" i="1"/>
  <c r="M39" i="1" s="1"/>
  <c r="N39" i="1" s="1"/>
  <c r="R39" i="1"/>
  <c r="Y124" i="1"/>
  <c r="Z124" i="1" s="1"/>
  <c r="AI123" i="1"/>
  <c r="AJ123" i="1" s="1"/>
  <c r="AK123" i="1" s="1"/>
  <c r="AQ123" i="1"/>
  <c r="AP123" i="1"/>
  <c r="AR123" i="1"/>
  <c r="AL123" i="1"/>
  <c r="AM123" i="1" s="1"/>
  <c r="AN123" i="1" s="1"/>
  <c r="AH124" i="1"/>
  <c r="X126" i="1" l="1"/>
  <c r="U126" i="1"/>
  <c r="V126" i="1" s="1"/>
  <c r="W126" i="1" s="1"/>
  <c r="T127" i="1"/>
  <c r="AB126" i="1"/>
  <c r="AD126" i="1" s="1"/>
  <c r="AC126" i="1"/>
  <c r="Y40" i="1"/>
  <c r="Z40" i="1" s="1"/>
  <c r="AB41" i="1"/>
  <c r="AD41" i="1" s="1"/>
  <c r="X41" i="1"/>
  <c r="Y41" i="1" s="1"/>
  <c r="Z41" i="1" s="1"/>
  <c r="AC41" i="1"/>
  <c r="T42" i="1"/>
  <c r="U41" i="1"/>
  <c r="V41" i="1" s="1"/>
  <c r="W41" i="1" s="1"/>
  <c r="M123" i="1"/>
  <c r="N123" i="1" s="1"/>
  <c r="AL42" i="1"/>
  <c r="AH43" i="1"/>
  <c r="AP42" i="1"/>
  <c r="AR42" i="1" s="1"/>
  <c r="AI42" i="1"/>
  <c r="AJ42" i="1" s="1"/>
  <c r="AK42" i="1" s="1"/>
  <c r="AQ42" i="1"/>
  <c r="I124" i="1"/>
  <c r="J124" i="1" s="1"/>
  <c r="K124" i="1" s="1"/>
  <c r="Q124" i="1"/>
  <c r="P124" i="1"/>
  <c r="R124" i="1" s="1"/>
  <c r="H125" i="1"/>
  <c r="L124" i="1"/>
  <c r="L40" i="1"/>
  <c r="H41" i="1"/>
  <c r="I40" i="1"/>
  <c r="J40" i="1" s="1"/>
  <c r="K40" i="1" s="1"/>
  <c r="Q40" i="1"/>
  <c r="O40" i="1"/>
  <c r="P40" i="1" s="1"/>
  <c r="R40" i="1" s="1"/>
  <c r="AI124" i="1"/>
  <c r="AJ124" i="1" s="1"/>
  <c r="AK124" i="1" s="1"/>
  <c r="AH125" i="1"/>
  <c r="AR124" i="1"/>
  <c r="AQ124" i="1"/>
  <c r="AP124" i="1"/>
  <c r="AL124" i="1"/>
  <c r="U42" i="1" l="1"/>
  <c r="V42" i="1" s="1"/>
  <c r="W42" i="1" s="1"/>
  <c r="T43" i="1"/>
  <c r="AC42" i="1"/>
  <c r="AB42" i="1"/>
  <c r="AD42" i="1" s="1"/>
  <c r="X42" i="1"/>
  <c r="Y42" i="1" s="1"/>
  <c r="Z42" i="1" s="1"/>
  <c r="AL125" i="1"/>
  <c r="AI125" i="1"/>
  <c r="AJ125" i="1" s="1"/>
  <c r="AK125" i="1" s="1"/>
  <c r="AH126" i="1"/>
  <c r="AQ125" i="1"/>
  <c r="AP125" i="1"/>
  <c r="AR125" i="1" s="1"/>
  <c r="AP43" i="1"/>
  <c r="AL43" i="1"/>
  <c r="AI43" i="1"/>
  <c r="AJ43" i="1" s="1"/>
  <c r="AK43" i="1" s="1"/>
  <c r="AH44" i="1"/>
  <c r="AR43" i="1"/>
  <c r="AQ43" i="1"/>
  <c r="I125" i="1"/>
  <c r="J125" i="1" s="1"/>
  <c r="K125" i="1" s="1"/>
  <c r="H126" i="1"/>
  <c r="Q125" i="1"/>
  <c r="P125" i="1"/>
  <c r="R125" i="1" s="1"/>
  <c r="L125" i="1"/>
  <c r="M125" i="1" s="1"/>
  <c r="N125" i="1" s="1"/>
  <c r="M40" i="1"/>
  <c r="N40" i="1" s="1"/>
  <c r="AM124" i="1"/>
  <c r="AN124" i="1" s="1"/>
  <c r="AM42" i="1"/>
  <c r="AN42" i="1" s="1"/>
  <c r="AB127" i="1"/>
  <c r="X127" i="1"/>
  <c r="U127" i="1"/>
  <c r="V127" i="1" s="1"/>
  <c r="W127" i="1" s="1"/>
  <c r="T128" i="1"/>
  <c r="AD127" i="1"/>
  <c r="AC127" i="1"/>
  <c r="I41" i="1"/>
  <c r="J41" i="1" s="1"/>
  <c r="K41" i="1" s="1"/>
  <c r="H42" i="1"/>
  <c r="Q41" i="1"/>
  <c r="O41" i="1"/>
  <c r="P41" i="1" s="1"/>
  <c r="R41" i="1" s="1"/>
  <c r="L41" i="1"/>
  <c r="M124" i="1"/>
  <c r="N124" i="1" s="1"/>
  <c r="Y126" i="1"/>
  <c r="Z126" i="1" s="1"/>
  <c r="T129" i="1" l="1"/>
  <c r="AC128" i="1"/>
  <c r="AB128" i="1"/>
  <c r="AD128" i="1" s="1"/>
  <c r="X128" i="1"/>
  <c r="U128" i="1"/>
  <c r="V128" i="1" s="1"/>
  <c r="W128" i="1" s="1"/>
  <c r="AM125" i="1"/>
  <c r="AN125" i="1" s="1"/>
  <c r="L42" i="1"/>
  <c r="M42" i="1" s="1"/>
  <c r="N42" i="1" s="1"/>
  <c r="H43" i="1"/>
  <c r="Q42" i="1"/>
  <c r="P42" i="1"/>
  <c r="R42" i="1" s="1"/>
  <c r="O42" i="1"/>
  <c r="I42" i="1"/>
  <c r="J42" i="1" s="1"/>
  <c r="K42" i="1" s="1"/>
  <c r="AI126" i="1"/>
  <c r="AJ126" i="1" s="1"/>
  <c r="AK126" i="1" s="1"/>
  <c r="AQ126" i="1"/>
  <c r="AH127" i="1"/>
  <c r="AL126" i="1"/>
  <c r="AM126" i="1" s="1"/>
  <c r="AN126" i="1" s="1"/>
  <c r="AP126" i="1"/>
  <c r="AR126" i="1" s="1"/>
  <c r="Y127" i="1"/>
  <c r="Z127" i="1" s="1"/>
  <c r="AP44" i="1"/>
  <c r="AR44" i="1" s="1"/>
  <c r="AL44" i="1"/>
  <c r="AM44" i="1" s="1"/>
  <c r="AN44" i="1" s="1"/>
  <c r="AQ44" i="1"/>
  <c r="AH45" i="1"/>
  <c r="AI44" i="1"/>
  <c r="AJ44" i="1" s="1"/>
  <c r="AK44" i="1" s="1"/>
  <c r="AM43" i="1"/>
  <c r="AN43" i="1" s="1"/>
  <c r="U43" i="1"/>
  <c r="V43" i="1" s="1"/>
  <c r="W43" i="1" s="1"/>
  <c r="AC43" i="1"/>
  <c r="AB43" i="1"/>
  <c r="T44" i="1"/>
  <c r="X43" i="1"/>
  <c r="Y43" i="1" s="1"/>
  <c r="Z43" i="1" s="1"/>
  <c r="AD43" i="1"/>
  <c r="L126" i="1"/>
  <c r="I126" i="1"/>
  <c r="J126" i="1" s="1"/>
  <c r="K126" i="1" s="1"/>
  <c r="H127" i="1"/>
  <c r="Q126" i="1"/>
  <c r="P126" i="1"/>
  <c r="R126" i="1" s="1"/>
  <c r="M41" i="1"/>
  <c r="N41" i="1" s="1"/>
  <c r="L43" i="1" l="1"/>
  <c r="H44" i="1"/>
  <c r="Q43" i="1"/>
  <c r="O43" i="1"/>
  <c r="P43" i="1" s="1"/>
  <c r="R43" i="1" s="1"/>
  <c r="I43" i="1"/>
  <c r="J43" i="1" s="1"/>
  <c r="K43" i="1" s="1"/>
  <c r="Y128" i="1"/>
  <c r="Z128" i="1" s="1"/>
  <c r="AQ127" i="1"/>
  <c r="AP127" i="1"/>
  <c r="AR127" i="1" s="1"/>
  <c r="AL127" i="1"/>
  <c r="AI127" i="1"/>
  <c r="AJ127" i="1" s="1"/>
  <c r="AK127" i="1" s="1"/>
  <c r="AH128" i="1"/>
  <c r="M126" i="1"/>
  <c r="N126" i="1" s="1"/>
  <c r="T45" i="1"/>
  <c r="AC44" i="1"/>
  <c r="U44" i="1"/>
  <c r="V44" i="1" s="1"/>
  <c r="W44" i="1" s="1"/>
  <c r="X44" i="1"/>
  <c r="AB44" i="1"/>
  <c r="AD44" i="1" s="1"/>
  <c r="AI45" i="1"/>
  <c r="AJ45" i="1" s="1"/>
  <c r="AK45" i="1" s="1"/>
  <c r="AH46" i="1"/>
  <c r="AQ45" i="1"/>
  <c r="AP45" i="1"/>
  <c r="AR45" i="1" s="1"/>
  <c r="AL45" i="1"/>
  <c r="I127" i="1"/>
  <c r="J127" i="1" s="1"/>
  <c r="K127" i="1" s="1"/>
  <c r="Q127" i="1"/>
  <c r="P127" i="1"/>
  <c r="R127" i="1" s="1"/>
  <c r="L127" i="1"/>
  <c r="M127" i="1" s="1"/>
  <c r="N127" i="1" s="1"/>
  <c r="H128" i="1"/>
  <c r="AB129" i="1"/>
  <c r="AD129" i="1" s="1"/>
  <c r="X129" i="1"/>
  <c r="Y129" i="1" s="1"/>
  <c r="Z129" i="1" s="1"/>
  <c r="T130" i="1"/>
  <c r="AC129" i="1"/>
  <c r="U129" i="1"/>
  <c r="V129" i="1" s="1"/>
  <c r="W129" i="1" s="1"/>
  <c r="Q128" i="1" l="1"/>
  <c r="P128" i="1"/>
  <c r="L128" i="1"/>
  <c r="I128" i="1"/>
  <c r="J128" i="1" s="1"/>
  <c r="K128" i="1" s="1"/>
  <c r="H129" i="1"/>
  <c r="R128" i="1"/>
  <c r="Y44" i="1"/>
  <c r="Z44" i="1" s="1"/>
  <c r="AL46" i="1"/>
  <c r="AM46" i="1" s="1"/>
  <c r="AN46" i="1" s="1"/>
  <c r="AH47" i="1"/>
  <c r="AQ46" i="1"/>
  <c r="AP46" i="1"/>
  <c r="AR46" i="1" s="1"/>
  <c r="AI46" i="1"/>
  <c r="AJ46" i="1" s="1"/>
  <c r="AK46" i="1" s="1"/>
  <c r="AM127" i="1"/>
  <c r="AN127" i="1" s="1"/>
  <c r="AB45" i="1"/>
  <c r="AD45" i="1" s="1"/>
  <c r="X45" i="1"/>
  <c r="AC45" i="1"/>
  <c r="T46" i="1"/>
  <c r="U45" i="1"/>
  <c r="V45" i="1" s="1"/>
  <c r="W45" i="1" s="1"/>
  <c r="P44" i="1"/>
  <c r="L44" i="1"/>
  <c r="I44" i="1"/>
  <c r="J44" i="1" s="1"/>
  <c r="K44" i="1" s="1"/>
  <c r="R44" i="1"/>
  <c r="Q44" i="1"/>
  <c r="O44" i="1"/>
  <c r="H45" i="1"/>
  <c r="AM45" i="1"/>
  <c r="AN45" i="1" s="1"/>
  <c r="U130" i="1"/>
  <c r="V130" i="1" s="1"/>
  <c r="W130" i="1" s="1"/>
  <c r="T131" i="1"/>
  <c r="AC130" i="1"/>
  <c r="AB130" i="1"/>
  <c r="AD130" i="1" s="1"/>
  <c r="X130" i="1"/>
  <c r="Y130" i="1" s="1"/>
  <c r="Z130" i="1" s="1"/>
  <c r="AH129" i="1"/>
  <c r="AR128" i="1"/>
  <c r="AQ128" i="1"/>
  <c r="AL128" i="1"/>
  <c r="AI128" i="1"/>
  <c r="AJ128" i="1" s="1"/>
  <c r="AK128" i="1" s="1"/>
  <c r="AP128" i="1"/>
  <c r="M43" i="1"/>
  <c r="N43" i="1" s="1"/>
  <c r="AI129" i="1" l="1"/>
  <c r="AJ129" i="1" s="1"/>
  <c r="AK129" i="1" s="1"/>
  <c r="AH130" i="1"/>
  <c r="AQ129" i="1"/>
  <c r="AP129" i="1"/>
  <c r="AR129" i="1" s="1"/>
  <c r="AL129" i="1"/>
  <c r="AM129" i="1" s="1"/>
  <c r="AN129" i="1" s="1"/>
  <c r="M44" i="1"/>
  <c r="N44" i="1" s="1"/>
  <c r="U46" i="1"/>
  <c r="V46" i="1" s="1"/>
  <c r="W46" i="1" s="1"/>
  <c r="T47" i="1"/>
  <c r="AC46" i="1"/>
  <c r="AB46" i="1"/>
  <c r="AD46" i="1"/>
  <c r="X46" i="1"/>
  <c r="Y45" i="1"/>
  <c r="Z45" i="1" s="1"/>
  <c r="H130" i="1"/>
  <c r="Q129" i="1"/>
  <c r="L129" i="1"/>
  <c r="I129" i="1"/>
  <c r="J129" i="1" s="1"/>
  <c r="K129" i="1" s="1"/>
  <c r="P129" i="1"/>
  <c r="R129" i="1" s="1"/>
  <c r="X131" i="1"/>
  <c r="U131" i="1"/>
  <c r="V131" i="1" s="1"/>
  <c r="W131" i="1" s="1"/>
  <c r="AB131" i="1"/>
  <c r="AD131" i="1" s="1"/>
  <c r="AC131" i="1"/>
  <c r="T132" i="1"/>
  <c r="AI47" i="1"/>
  <c r="AJ47" i="1" s="1"/>
  <c r="AK47" i="1" s="1"/>
  <c r="AH48" i="1"/>
  <c r="AQ47" i="1"/>
  <c r="AP47" i="1"/>
  <c r="AL47" i="1"/>
  <c r="AM47" i="1" s="1"/>
  <c r="AN47" i="1" s="1"/>
  <c r="AR47" i="1"/>
  <c r="H46" i="1"/>
  <c r="Q45" i="1"/>
  <c r="O45" i="1"/>
  <c r="P45" i="1" s="1"/>
  <c r="R45" i="1" s="1"/>
  <c r="L45" i="1"/>
  <c r="M45" i="1" s="1"/>
  <c r="N45" i="1" s="1"/>
  <c r="I45" i="1"/>
  <c r="J45" i="1" s="1"/>
  <c r="K45" i="1" s="1"/>
  <c r="M128" i="1"/>
  <c r="N128" i="1" s="1"/>
  <c r="AM128" i="1"/>
  <c r="AN128" i="1" s="1"/>
  <c r="X47" i="1" l="1"/>
  <c r="AB47" i="1"/>
  <c r="AD47" i="1" s="1"/>
  <c r="AC47" i="1"/>
  <c r="T48" i="1"/>
  <c r="U47" i="1"/>
  <c r="V47" i="1" s="1"/>
  <c r="W47" i="1" s="1"/>
  <c r="I130" i="1"/>
  <c r="J130" i="1" s="1"/>
  <c r="K130" i="1" s="1"/>
  <c r="H131" i="1"/>
  <c r="Q130" i="1"/>
  <c r="P130" i="1"/>
  <c r="R130" i="1" s="1"/>
  <c r="L130" i="1"/>
  <c r="M130" i="1" s="1"/>
  <c r="N130" i="1" s="1"/>
  <c r="O46" i="1"/>
  <c r="P46" i="1" s="1"/>
  <c r="R46" i="1" s="1"/>
  <c r="L46" i="1"/>
  <c r="H47" i="1"/>
  <c r="I46" i="1"/>
  <c r="J46" i="1" s="1"/>
  <c r="K46" i="1" s="1"/>
  <c r="Q46" i="1"/>
  <c r="M129" i="1"/>
  <c r="N129" i="1" s="1"/>
  <c r="AP48" i="1"/>
  <c r="AR48" i="1" s="1"/>
  <c r="AL48" i="1"/>
  <c r="AM48" i="1" s="1"/>
  <c r="AN48" i="1" s="1"/>
  <c r="AH49" i="1"/>
  <c r="AI48" i="1"/>
  <c r="AJ48" i="1" s="1"/>
  <c r="AK48" i="1" s="1"/>
  <c r="AQ48" i="1"/>
  <c r="AC132" i="1"/>
  <c r="AB132" i="1"/>
  <c r="X132" i="1"/>
  <c r="U132" i="1"/>
  <c r="V132" i="1" s="1"/>
  <c r="W132" i="1" s="1"/>
  <c r="AD132" i="1"/>
  <c r="T133" i="1"/>
  <c r="AL130" i="1"/>
  <c r="AM130" i="1" s="1"/>
  <c r="AN130" i="1" s="1"/>
  <c r="AR130" i="1"/>
  <c r="AH131" i="1"/>
  <c r="AQ130" i="1"/>
  <c r="AP130" i="1"/>
  <c r="AI130" i="1"/>
  <c r="AJ130" i="1" s="1"/>
  <c r="AK130" i="1" s="1"/>
  <c r="Y131" i="1"/>
  <c r="Z131" i="1" s="1"/>
  <c r="Y46" i="1"/>
  <c r="Z46" i="1" s="1"/>
  <c r="AI131" i="1" l="1"/>
  <c r="AJ131" i="1" s="1"/>
  <c r="AK131" i="1" s="1"/>
  <c r="AH132" i="1"/>
  <c r="AQ131" i="1"/>
  <c r="AP131" i="1"/>
  <c r="AL131" i="1"/>
  <c r="AM131" i="1" s="1"/>
  <c r="AN131" i="1" s="1"/>
  <c r="AR131" i="1"/>
  <c r="L131" i="1"/>
  <c r="I131" i="1"/>
  <c r="J131" i="1" s="1"/>
  <c r="K131" i="1" s="1"/>
  <c r="H132" i="1"/>
  <c r="Q131" i="1"/>
  <c r="P131" i="1"/>
  <c r="R131" i="1" s="1"/>
  <c r="AI49" i="1"/>
  <c r="AJ49" i="1" s="1"/>
  <c r="AK49" i="1" s="1"/>
  <c r="AH50" i="1"/>
  <c r="AQ49" i="1"/>
  <c r="AP49" i="1"/>
  <c r="AR49" i="1" s="1"/>
  <c r="AL49" i="1"/>
  <c r="AM49" i="1" s="1"/>
  <c r="AN49" i="1" s="1"/>
  <c r="Y132" i="1"/>
  <c r="Z132" i="1" s="1"/>
  <c r="I47" i="1"/>
  <c r="J47" i="1" s="1"/>
  <c r="K47" i="1" s="1"/>
  <c r="H48" i="1"/>
  <c r="Q47" i="1"/>
  <c r="O47" i="1"/>
  <c r="P47" i="1" s="1"/>
  <c r="R47" i="1" s="1"/>
  <c r="L47" i="1"/>
  <c r="T49" i="1"/>
  <c r="AC48" i="1"/>
  <c r="U48" i="1"/>
  <c r="V48" i="1" s="1"/>
  <c r="W48" i="1" s="1"/>
  <c r="AB48" i="1"/>
  <c r="AD48" i="1" s="1"/>
  <c r="X48" i="1"/>
  <c r="Y48" i="1" s="1"/>
  <c r="Z48" i="1" s="1"/>
  <c r="M46" i="1"/>
  <c r="N46" i="1" s="1"/>
  <c r="AC133" i="1"/>
  <c r="AB133" i="1"/>
  <c r="AD133" i="1" s="1"/>
  <c r="X133" i="1"/>
  <c r="Y133" i="1" s="1"/>
  <c r="Z133" i="1" s="1"/>
  <c r="U133" i="1"/>
  <c r="V133" i="1" s="1"/>
  <c r="W133" i="1" s="1"/>
  <c r="T134" i="1"/>
  <c r="Y47" i="1"/>
  <c r="Z47" i="1" s="1"/>
  <c r="P132" i="1" l="1"/>
  <c r="L132" i="1"/>
  <c r="I132" i="1"/>
  <c r="J132" i="1" s="1"/>
  <c r="K132" i="1" s="1"/>
  <c r="H133" i="1"/>
  <c r="R132" i="1"/>
  <c r="Q132" i="1"/>
  <c r="M131" i="1"/>
  <c r="N131" i="1" s="1"/>
  <c r="P48" i="1"/>
  <c r="L48" i="1"/>
  <c r="I48" i="1"/>
  <c r="J48" i="1" s="1"/>
  <c r="K48" i="1" s="1"/>
  <c r="R48" i="1"/>
  <c r="Q48" i="1"/>
  <c r="O48" i="1"/>
  <c r="H49" i="1"/>
  <c r="AB49" i="1"/>
  <c r="AD49" i="1" s="1"/>
  <c r="X49" i="1"/>
  <c r="AC49" i="1"/>
  <c r="T50" i="1"/>
  <c r="U49" i="1"/>
  <c r="V49" i="1" s="1"/>
  <c r="W49" i="1" s="1"/>
  <c r="AC134" i="1"/>
  <c r="AB134" i="1"/>
  <c r="AD134" i="1" s="1"/>
  <c r="X134" i="1"/>
  <c r="Y134" i="1" s="1"/>
  <c r="Z134" i="1" s="1"/>
  <c r="U134" i="1"/>
  <c r="V134" i="1" s="1"/>
  <c r="W134" i="1" s="1"/>
  <c r="T135" i="1"/>
  <c r="M47" i="1"/>
  <c r="N47" i="1" s="1"/>
  <c r="AL50" i="1"/>
  <c r="AH51" i="1"/>
  <c r="AQ50" i="1"/>
  <c r="AP50" i="1"/>
  <c r="AR50" i="1" s="1"/>
  <c r="AI50" i="1"/>
  <c r="AJ50" i="1" s="1"/>
  <c r="AK50" i="1" s="1"/>
  <c r="AQ132" i="1"/>
  <c r="AP132" i="1"/>
  <c r="AR132" i="1" s="1"/>
  <c r="AL132" i="1"/>
  <c r="AH133" i="1"/>
  <c r="AI132" i="1"/>
  <c r="AJ132" i="1" s="1"/>
  <c r="AK132" i="1" s="1"/>
  <c r="AI51" i="1" l="1"/>
  <c r="AJ51" i="1" s="1"/>
  <c r="AK51" i="1" s="1"/>
  <c r="AH52" i="1"/>
  <c r="AQ51" i="1"/>
  <c r="AP51" i="1"/>
  <c r="AR51" i="1" s="1"/>
  <c r="AL51" i="1"/>
  <c r="AM51" i="1" s="1"/>
  <c r="AN51" i="1" s="1"/>
  <c r="U50" i="1"/>
  <c r="V50" i="1" s="1"/>
  <c r="W50" i="1" s="1"/>
  <c r="T51" i="1"/>
  <c r="AC50" i="1"/>
  <c r="AB50" i="1"/>
  <c r="X50" i="1"/>
  <c r="Y50" i="1" s="1"/>
  <c r="Z50" i="1" s="1"/>
  <c r="AD50" i="1"/>
  <c r="Y49" i="1"/>
  <c r="Z49" i="1" s="1"/>
  <c r="AM50" i="1"/>
  <c r="AN50" i="1" s="1"/>
  <c r="P133" i="1"/>
  <c r="L133" i="1"/>
  <c r="I133" i="1"/>
  <c r="J133" i="1" s="1"/>
  <c r="K133" i="1" s="1"/>
  <c r="R133" i="1"/>
  <c r="Q133" i="1"/>
  <c r="H134" i="1"/>
  <c r="AQ133" i="1"/>
  <c r="AP133" i="1"/>
  <c r="AR133" i="1" s="1"/>
  <c r="AL133" i="1"/>
  <c r="AM133" i="1" s="1"/>
  <c r="AN133" i="1" s="1"/>
  <c r="AH134" i="1"/>
  <c r="AI133" i="1"/>
  <c r="AJ133" i="1" s="1"/>
  <c r="AK133" i="1" s="1"/>
  <c r="T136" i="1"/>
  <c r="AC135" i="1"/>
  <c r="X135" i="1"/>
  <c r="U135" i="1"/>
  <c r="V135" i="1" s="1"/>
  <c r="W135" i="1" s="1"/>
  <c r="AB135" i="1"/>
  <c r="AD135" i="1" s="1"/>
  <c r="H50" i="1"/>
  <c r="Q49" i="1"/>
  <c r="O49" i="1"/>
  <c r="P49" i="1" s="1"/>
  <c r="R49" i="1" s="1"/>
  <c r="L49" i="1"/>
  <c r="M49" i="1" s="1"/>
  <c r="N49" i="1" s="1"/>
  <c r="I49" i="1"/>
  <c r="J49" i="1" s="1"/>
  <c r="K49" i="1" s="1"/>
  <c r="M132" i="1"/>
  <c r="N132" i="1" s="1"/>
  <c r="M48" i="1"/>
  <c r="N48" i="1" s="1"/>
  <c r="AM132" i="1"/>
  <c r="AN132" i="1" s="1"/>
  <c r="O50" i="1" l="1"/>
  <c r="P50" i="1" s="1"/>
  <c r="R50" i="1" s="1"/>
  <c r="L50" i="1"/>
  <c r="Q50" i="1"/>
  <c r="H51" i="1"/>
  <c r="I50" i="1"/>
  <c r="J50" i="1" s="1"/>
  <c r="K50" i="1" s="1"/>
  <c r="Q134" i="1"/>
  <c r="P134" i="1"/>
  <c r="R134" i="1" s="1"/>
  <c r="L134" i="1"/>
  <c r="I134" i="1"/>
  <c r="J134" i="1" s="1"/>
  <c r="K134" i="1" s="1"/>
  <c r="H135" i="1"/>
  <c r="X51" i="1"/>
  <c r="AD51" i="1"/>
  <c r="AB51" i="1"/>
  <c r="U51" i="1"/>
  <c r="V51" i="1" s="1"/>
  <c r="W51" i="1" s="1"/>
  <c r="AC51" i="1"/>
  <c r="T52" i="1"/>
  <c r="Y135" i="1"/>
  <c r="Z135" i="1" s="1"/>
  <c r="M133" i="1"/>
  <c r="N133" i="1" s="1"/>
  <c r="T137" i="1"/>
  <c r="AB136" i="1"/>
  <c r="AD136" i="1" s="1"/>
  <c r="X136" i="1"/>
  <c r="AC136" i="1"/>
  <c r="U136" i="1"/>
  <c r="V136" i="1" s="1"/>
  <c r="W136" i="1" s="1"/>
  <c r="AP52" i="1"/>
  <c r="AR52" i="1" s="1"/>
  <c r="AL52" i="1"/>
  <c r="AQ52" i="1"/>
  <c r="AH53" i="1"/>
  <c r="AI52" i="1"/>
  <c r="AJ52" i="1" s="1"/>
  <c r="AK52" i="1" s="1"/>
  <c r="AH135" i="1"/>
  <c r="AR134" i="1"/>
  <c r="AQ134" i="1"/>
  <c r="AL134" i="1"/>
  <c r="AI134" i="1"/>
  <c r="AJ134" i="1" s="1"/>
  <c r="AK134" i="1" s="1"/>
  <c r="AP134" i="1"/>
  <c r="AH136" i="1" l="1"/>
  <c r="AP135" i="1"/>
  <c r="AR135" i="1" s="1"/>
  <c r="AL135" i="1"/>
  <c r="AQ135" i="1"/>
  <c r="AI135" i="1"/>
  <c r="AJ135" i="1" s="1"/>
  <c r="AK135" i="1" s="1"/>
  <c r="AI53" i="1"/>
  <c r="AJ53" i="1" s="1"/>
  <c r="AK53" i="1" s="1"/>
  <c r="AH54" i="1"/>
  <c r="AQ53" i="1"/>
  <c r="AP53" i="1"/>
  <c r="AR53" i="1" s="1"/>
  <c r="AL53" i="1"/>
  <c r="AM53" i="1" s="1"/>
  <c r="AN53" i="1" s="1"/>
  <c r="T53" i="1"/>
  <c r="AC52" i="1"/>
  <c r="U52" i="1"/>
  <c r="V52" i="1" s="1"/>
  <c r="W52" i="1" s="1"/>
  <c r="AB52" i="1"/>
  <c r="AD52" i="1" s="1"/>
  <c r="X52" i="1"/>
  <c r="Y52" i="1" s="1"/>
  <c r="Z52" i="1" s="1"/>
  <c r="AM52" i="1"/>
  <c r="AN52" i="1" s="1"/>
  <c r="I51" i="1"/>
  <c r="J51" i="1" s="1"/>
  <c r="K51" i="1" s="1"/>
  <c r="H52" i="1"/>
  <c r="Q51" i="1"/>
  <c r="O51" i="1"/>
  <c r="P51" i="1" s="1"/>
  <c r="R51" i="1" s="1"/>
  <c r="L51" i="1"/>
  <c r="M50" i="1"/>
  <c r="N50" i="1" s="1"/>
  <c r="Q135" i="1"/>
  <c r="P135" i="1"/>
  <c r="R135" i="1" s="1"/>
  <c r="L135" i="1"/>
  <c r="H136" i="1"/>
  <c r="I135" i="1"/>
  <c r="J135" i="1" s="1"/>
  <c r="K135" i="1" s="1"/>
  <c r="M134" i="1"/>
  <c r="N134" i="1" s="1"/>
  <c r="Y51" i="1"/>
  <c r="Z51" i="1" s="1"/>
  <c r="U137" i="1"/>
  <c r="V137" i="1" s="1"/>
  <c r="W137" i="1" s="1"/>
  <c r="T138" i="1"/>
  <c r="AC137" i="1"/>
  <c r="AB137" i="1"/>
  <c r="AD137" i="1" s="1"/>
  <c r="X137" i="1"/>
  <c r="AM134" i="1"/>
  <c r="AN134" i="1" s="1"/>
  <c r="Y136" i="1"/>
  <c r="Z136" i="1" s="1"/>
  <c r="H137" i="1" l="1"/>
  <c r="Q136" i="1"/>
  <c r="L136" i="1"/>
  <c r="I136" i="1"/>
  <c r="J136" i="1" s="1"/>
  <c r="K136" i="1" s="1"/>
  <c r="P136" i="1"/>
  <c r="R136" i="1" s="1"/>
  <c r="AL54" i="1"/>
  <c r="AH55" i="1"/>
  <c r="AQ54" i="1"/>
  <c r="AP54" i="1"/>
  <c r="AR54" i="1" s="1"/>
  <c r="AI54" i="1"/>
  <c r="AJ54" i="1" s="1"/>
  <c r="AK54" i="1" s="1"/>
  <c r="L52" i="1"/>
  <c r="I52" i="1"/>
  <c r="J52" i="1" s="1"/>
  <c r="K52" i="1" s="1"/>
  <c r="Q52" i="1"/>
  <c r="O52" i="1"/>
  <c r="P52" i="1" s="1"/>
  <c r="R52" i="1" s="1"/>
  <c r="H53" i="1"/>
  <c r="M135" i="1"/>
  <c r="N135" i="1" s="1"/>
  <c r="Y137" i="1"/>
  <c r="Z137" i="1" s="1"/>
  <c r="AM135" i="1"/>
  <c r="AN135" i="1" s="1"/>
  <c r="M51" i="1"/>
  <c r="N51" i="1" s="1"/>
  <c r="T139" i="1"/>
  <c r="AB138" i="1"/>
  <c r="U138" i="1"/>
  <c r="V138" i="1" s="1"/>
  <c r="W138" i="1" s="1"/>
  <c r="AD138" i="1"/>
  <c r="AC138" i="1"/>
  <c r="X138" i="1"/>
  <c r="Y138" i="1" s="1"/>
  <c r="Z138" i="1" s="1"/>
  <c r="AB53" i="1"/>
  <c r="AD53" i="1" s="1"/>
  <c r="X53" i="1"/>
  <c r="AC53" i="1"/>
  <c r="T54" i="1"/>
  <c r="U53" i="1"/>
  <c r="V53" i="1" s="1"/>
  <c r="W53" i="1" s="1"/>
  <c r="AI136" i="1"/>
  <c r="AJ136" i="1" s="1"/>
  <c r="AK136" i="1" s="1"/>
  <c r="AH137" i="1"/>
  <c r="AQ136" i="1"/>
  <c r="AP136" i="1"/>
  <c r="AR136" i="1" s="1"/>
  <c r="AL136" i="1"/>
  <c r="AI55" i="1" l="1"/>
  <c r="AJ55" i="1" s="1"/>
  <c r="AK55" i="1" s="1"/>
  <c r="AH56" i="1"/>
  <c r="AQ55" i="1"/>
  <c r="AL55" i="1"/>
  <c r="AM55" i="1" s="1"/>
  <c r="AN55" i="1" s="1"/>
  <c r="AP55" i="1"/>
  <c r="AR55" i="1" s="1"/>
  <c r="Y53" i="1"/>
  <c r="Z53" i="1" s="1"/>
  <c r="H54" i="1"/>
  <c r="Q53" i="1"/>
  <c r="O53" i="1"/>
  <c r="P53" i="1" s="1"/>
  <c r="R53" i="1" s="1"/>
  <c r="L53" i="1"/>
  <c r="I53" i="1"/>
  <c r="J53" i="1" s="1"/>
  <c r="K53" i="1" s="1"/>
  <c r="AM54" i="1"/>
  <c r="AN54" i="1" s="1"/>
  <c r="U54" i="1"/>
  <c r="V54" i="1" s="1"/>
  <c r="W54" i="1" s="1"/>
  <c r="T55" i="1"/>
  <c r="AC54" i="1"/>
  <c r="AB54" i="1"/>
  <c r="AD54" i="1" s="1"/>
  <c r="X54" i="1"/>
  <c r="Y54" i="1" s="1"/>
  <c r="Z54" i="1" s="1"/>
  <c r="AM136" i="1"/>
  <c r="AN136" i="1" s="1"/>
  <c r="M136" i="1"/>
  <c r="N136" i="1" s="1"/>
  <c r="U139" i="1"/>
  <c r="V139" i="1" s="1"/>
  <c r="W139" i="1" s="1"/>
  <c r="T140" i="1"/>
  <c r="AC139" i="1"/>
  <c r="AB139" i="1"/>
  <c r="AD139" i="1" s="1"/>
  <c r="X139" i="1"/>
  <c r="M52" i="1"/>
  <c r="N52" i="1" s="1"/>
  <c r="AI137" i="1"/>
  <c r="AJ137" i="1" s="1"/>
  <c r="AK137" i="1" s="1"/>
  <c r="AH138" i="1"/>
  <c r="AQ137" i="1"/>
  <c r="AP137" i="1"/>
  <c r="AR137" i="1" s="1"/>
  <c r="AL137" i="1"/>
  <c r="AM137" i="1" s="1"/>
  <c r="AN137" i="1" s="1"/>
  <c r="H138" i="1"/>
  <c r="P137" i="1"/>
  <c r="R137" i="1" s="1"/>
  <c r="L137" i="1"/>
  <c r="Q137" i="1"/>
  <c r="I137" i="1"/>
  <c r="J137" i="1" s="1"/>
  <c r="K137" i="1" s="1"/>
  <c r="M53" i="1" l="1"/>
  <c r="N53" i="1" s="1"/>
  <c r="O54" i="1"/>
  <c r="P54" i="1" s="1"/>
  <c r="R54" i="1" s="1"/>
  <c r="L54" i="1"/>
  <c r="I54" i="1"/>
  <c r="J54" i="1" s="1"/>
  <c r="K54" i="1" s="1"/>
  <c r="Q54" i="1"/>
  <c r="H55" i="1"/>
  <c r="Y139" i="1"/>
  <c r="Z139" i="1" s="1"/>
  <c r="X55" i="1"/>
  <c r="Y55" i="1" s="1"/>
  <c r="Z55" i="1" s="1"/>
  <c r="AB55" i="1"/>
  <c r="AD55" i="1" s="1"/>
  <c r="AC55" i="1"/>
  <c r="T56" i="1"/>
  <c r="U55" i="1"/>
  <c r="V55" i="1" s="1"/>
  <c r="W55" i="1" s="1"/>
  <c r="M137" i="1"/>
  <c r="N137" i="1" s="1"/>
  <c r="AI138" i="1"/>
  <c r="AJ138" i="1" s="1"/>
  <c r="AK138" i="1" s="1"/>
  <c r="AH139" i="1"/>
  <c r="AQ138" i="1"/>
  <c r="AP138" i="1"/>
  <c r="AR138" i="1" s="1"/>
  <c r="AL138" i="1"/>
  <c r="AM138" i="1" s="1"/>
  <c r="AN138" i="1" s="1"/>
  <c r="AP56" i="1"/>
  <c r="AR56" i="1" s="1"/>
  <c r="AL56" i="1"/>
  <c r="AH57" i="1"/>
  <c r="AQ56" i="1"/>
  <c r="AI56" i="1"/>
  <c r="AJ56" i="1" s="1"/>
  <c r="AK56" i="1" s="1"/>
  <c r="H139" i="1"/>
  <c r="I138" i="1"/>
  <c r="J138" i="1" s="1"/>
  <c r="K138" i="1" s="1"/>
  <c r="Q138" i="1"/>
  <c r="P138" i="1"/>
  <c r="R138" i="1"/>
  <c r="L138" i="1"/>
  <c r="M138" i="1" s="1"/>
  <c r="N138" i="1" s="1"/>
  <c r="U140" i="1"/>
  <c r="V140" i="1" s="1"/>
  <c r="W140" i="1" s="1"/>
  <c r="T141" i="1"/>
  <c r="AC140" i="1"/>
  <c r="X140" i="1"/>
  <c r="AB140" i="1"/>
  <c r="AD140" i="1" s="1"/>
  <c r="U141" i="1" l="1"/>
  <c r="V141" i="1" s="1"/>
  <c r="W141" i="1" s="1"/>
  <c r="AB141" i="1"/>
  <c r="AD141" i="1" s="1"/>
  <c r="AC141" i="1"/>
  <c r="X141" i="1"/>
  <c r="Y141" i="1" s="1"/>
  <c r="Z141" i="1" s="1"/>
  <c r="T142" i="1"/>
  <c r="I55" i="1"/>
  <c r="J55" i="1" s="1"/>
  <c r="K55" i="1" s="1"/>
  <c r="H56" i="1"/>
  <c r="Q55" i="1"/>
  <c r="O55" i="1"/>
  <c r="P55" i="1"/>
  <c r="R55" i="1" s="1"/>
  <c r="L55" i="1"/>
  <c r="AI139" i="1"/>
  <c r="AJ139" i="1" s="1"/>
  <c r="AK139" i="1" s="1"/>
  <c r="AH140" i="1"/>
  <c r="AQ139" i="1"/>
  <c r="AP139" i="1"/>
  <c r="AR139" i="1" s="1"/>
  <c r="AL139" i="1"/>
  <c r="AM139" i="1" s="1"/>
  <c r="AN139" i="1" s="1"/>
  <c r="H140" i="1"/>
  <c r="Q139" i="1"/>
  <c r="P139" i="1"/>
  <c r="R139" i="1" s="1"/>
  <c r="L139" i="1"/>
  <c r="M139" i="1" s="1"/>
  <c r="N139" i="1" s="1"/>
  <c r="I139" i="1"/>
  <c r="J139" i="1" s="1"/>
  <c r="K139" i="1" s="1"/>
  <c r="M54" i="1"/>
  <c r="N54" i="1" s="1"/>
  <c r="Y140" i="1"/>
  <c r="Z140" i="1" s="1"/>
  <c r="AP57" i="1"/>
  <c r="AR57" i="1" s="1"/>
  <c r="AL57" i="1"/>
  <c r="AH58" i="1"/>
  <c r="AQ57" i="1"/>
  <c r="AI57" i="1"/>
  <c r="AJ57" i="1" s="1"/>
  <c r="AK57" i="1" s="1"/>
  <c r="AC56" i="1"/>
  <c r="U56" i="1"/>
  <c r="V56" i="1" s="1"/>
  <c r="W56" i="1" s="1"/>
  <c r="AD56" i="1"/>
  <c r="T57" i="1"/>
  <c r="AB56" i="1"/>
  <c r="X56" i="1"/>
  <c r="AM56" i="1"/>
  <c r="AN56" i="1" s="1"/>
  <c r="L56" i="1" l="1"/>
  <c r="I56" i="1"/>
  <c r="J56" i="1" s="1"/>
  <c r="K56" i="1" s="1"/>
  <c r="H57" i="1"/>
  <c r="Q56" i="1"/>
  <c r="O56" i="1"/>
  <c r="P56" i="1" s="1"/>
  <c r="R56" i="1" s="1"/>
  <c r="I140" i="1"/>
  <c r="J140" i="1" s="1"/>
  <c r="K140" i="1" s="1"/>
  <c r="H141" i="1"/>
  <c r="Q140" i="1"/>
  <c r="P140" i="1"/>
  <c r="R140" i="1" s="1"/>
  <c r="L140" i="1"/>
  <c r="AM57" i="1"/>
  <c r="AN57" i="1" s="1"/>
  <c r="X142" i="1"/>
  <c r="U142" i="1"/>
  <c r="V142" i="1" s="1"/>
  <c r="W142" i="1" s="1"/>
  <c r="T143" i="1"/>
  <c r="AC142" i="1"/>
  <c r="AB142" i="1"/>
  <c r="AD142" i="1" s="1"/>
  <c r="AP58" i="1"/>
  <c r="AR58" i="1" s="1"/>
  <c r="AL58" i="1"/>
  <c r="AM58" i="1" s="1"/>
  <c r="AN58" i="1" s="1"/>
  <c r="AH59" i="1"/>
  <c r="AQ58" i="1"/>
  <c r="AI58" i="1"/>
  <c r="AJ58" i="1" s="1"/>
  <c r="AK58" i="1" s="1"/>
  <c r="Y56" i="1"/>
  <c r="Z56" i="1" s="1"/>
  <c r="AI140" i="1"/>
  <c r="AJ140" i="1" s="1"/>
  <c r="AK140" i="1" s="1"/>
  <c r="AH141" i="1"/>
  <c r="AP140" i="1"/>
  <c r="AR140" i="1" s="1"/>
  <c r="AQ140" i="1"/>
  <c r="AL140" i="1"/>
  <c r="AM140" i="1" s="1"/>
  <c r="AN140" i="1" s="1"/>
  <c r="AC57" i="1"/>
  <c r="U57" i="1"/>
  <c r="V57" i="1" s="1"/>
  <c r="W57" i="1" s="1"/>
  <c r="X57" i="1"/>
  <c r="T58" i="1"/>
  <c r="AB57" i="1"/>
  <c r="AD57" i="1" s="1"/>
  <c r="M55" i="1"/>
  <c r="N55" i="1" s="1"/>
  <c r="Y57" i="1" l="1"/>
  <c r="Z57" i="1" s="1"/>
  <c r="AP59" i="1"/>
  <c r="AR59" i="1" s="1"/>
  <c r="AL59" i="1"/>
  <c r="AH60" i="1"/>
  <c r="AI59" i="1"/>
  <c r="AJ59" i="1" s="1"/>
  <c r="AK59" i="1" s="1"/>
  <c r="AQ59" i="1"/>
  <c r="I141" i="1"/>
  <c r="J141" i="1" s="1"/>
  <c r="K141" i="1" s="1"/>
  <c r="H142" i="1"/>
  <c r="Q141" i="1"/>
  <c r="P141" i="1"/>
  <c r="R141" i="1" s="1"/>
  <c r="L141" i="1"/>
  <c r="T144" i="1"/>
  <c r="AC143" i="1"/>
  <c r="AB143" i="1"/>
  <c r="X143" i="1"/>
  <c r="U143" i="1"/>
  <c r="V143" i="1" s="1"/>
  <c r="W143" i="1" s="1"/>
  <c r="AD143" i="1"/>
  <c r="AL141" i="1"/>
  <c r="AI141" i="1"/>
  <c r="AJ141" i="1" s="1"/>
  <c r="AK141" i="1" s="1"/>
  <c r="AH142" i="1"/>
  <c r="AQ141" i="1"/>
  <c r="AP141" i="1"/>
  <c r="AR141" i="1" s="1"/>
  <c r="L57" i="1"/>
  <c r="I57" i="1"/>
  <c r="J57" i="1" s="1"/>
  <c r="K57" i="1" s="1"/>
  <c r="H58" i="1"/>
  <c r="Q57" i="1"/>
  <c r="O57" i="1"/>
  <c r="P57" i="1" s="1"/>
  <c r="R57" i="1" s="1"/>
  <c r="Y142" i="1"/>
  <c r="Z142" i="1" s="1"/>
  <c r="AC58" i="1"/>
  <c r="U58" i="1"/>
  <c r="V58" i="1" s="1"/>
  <c r="W58" i="1" s="1"/>
  <c r="AD58" i="1"/>
  <c r="T59" i="1"/>
  <c r="AB58" i="1"/>
  <c r="X58" i="1"/>
  <c r="M56" i="1"/>
  <c r="N56" i="1" s="1"/>
  <c r="M140" i="1"/>
  <c r="N140" i="1" s="1"/>
  <c r="L142" i="1" l="1"/>
  <c r="I142" i="1"/>
  <c r="J142" i="1" s="1"/>
  <c r="K142" i="1" s="1"/>
  <c r="H143" i="1"/>
  <c r="Q142" i="1"/>
  <c r="P142" i="1"/>
  <c r="R142" i="1" s="1"/>
  <c r="AL142" i="1"/>
  <c r="AP142" i="1"/>
  <c r="AR142" i="1" s="1"/>
  <c r="AI142" i="1"/>
  <c r="AJ142" i="1" s="1"/>
  <c r="AK142" i="1" s="1"/>
  <c r="AH143" i="1"/>
  <c r="AQ142" i="1"/>
  <c r="L58" i="1"/>
  <c r="I58" i="1"/>
  <c r="J58" i="1" s="1"/>
  <c r="K58" i="1" s="1"/>
  <c r="H59" i="1"/>
  <c r="O58" i="1"/>
  <c r="P58" i="1" s="1"/>
  <c r="R58" i="1" s="1"/>
  <c r="Q58" i="1"/>
  <c r="Y143" i="1"/>
  <c r="Z143" i="1" s="1"/>
  <c r="AH61" i="1"/>
  <c r="AQ60" i="1"/>
  <c r="AL60" i="1"/>
  <c r="AI60" i="1"/>
  <c r="AJ60" i="1" s="1"/>
  <c r="AK60" i="1" s="1"/>
  <c r="AP60" i="1"/>
  <c r="AR60" i="1" s="1"/>
  <c r="AM141" i="1"/>
  <c r="AN141" i="1" s="1"/>
  <c r="AM59" i="1"/>
  <c r="AN59" i="1" s="1"/>
  <c r="Y58" i="1"/>
  <c r="Z58" i="1" s="1"/>
  <c r="M57" i="1"/>
  <c r="N57" i="1" s="1"/>
  <c r="T145" i="1"/>
  <c r="AC144" i="1"/>
  <c r="AB144" i="1"/>
  <c r="AD144" i="1" s="1"/>
  <c r="X144" i="1"/>
  <c r="U144" i="1"/>
  <c r="V144" i="1" s="1"/>
  <c r="W144" i="1" s="1"/>
  <c r="AC59" i="1"/>
  <c r="U59" i="1"/>
  <c r="V59" i="1" s="1"/>
  <c r="W59" i="1" s="1"/>
  <c r="T60" i="1"/>
  <c r="AB59" i="1"/>
  <c r="AD59" i="1" s="1"/>
  <c r="X59" i="1"/>
  <c r="Y59" i="1" s="1"/>
  <c r="Z59" i="1" s="1"/>
  <c r="M141" i="1"/>
  <c r="N141" i="1" s="1"/>
  <c r="AP61" i="1" l="1"/>
  <c r="AR61" i="1" s="1"/>
  <c r="AL61" i="1"/>
  <c r="AQ61" i="1"/>
  <c r="AH62" i="1"/>
  <c r="AI61" i="1"/>
  <c r="AJ61" i="1" s="1"/>
  <c r="AK61" i="1" s="1"/>
  <c r="AM60" i="1"/>
  <c r="AN60" i="1" s="1"/>
  <c r="AM142" i="1"/>
  <c r="AN142" i="1" s="1"/>
  <c r="Y144" i="1"/>
  <c r="Z144" i="1" s="1"/>
  <c r="AR143" i="1"/>
  <c r="AH144" i="1"/>
  <c r="AQ143" i="1"/>
  <c r="AP143" i="1"/>
  <c r="AI143" i="1"/>
  <c r="AJ143" i="1" s="1"/>
  <c r="AK143" i="1" s="1"/>
  <c r="AL143" i="1"/>
  <c r="U145" i="1"/>
  <c r="V145" i="1" s="1"/>
  <c r="W145" i="1" s="1"/>
  <c r="AB145" i="1"/>
  <c r="AD145" i="1" s="1"/>
  <c r="AC145" i="1"/>
  <c r="X145" i="1"/>
  <c r="Y145" i="1" s="1"/>
  <c r="Z145" i="1" s="1"/>
  <c r="T146" i="1"/>
  <c r="P59" i="1"/>
  <c r="R59" i="1" s="1"/>
  <c r="L59" i="1"/>
  <c r="I59" i="1"/>
  <c r="J59" i="1" s="1"/>
  <c r="K59" i="1" s="1"/>
  <c r="Q59" i="1"/>
  <c r="H60" i="1"/>
  <c r="O59" i="1"/>
  <c r="P143" i="1"/>
  <c r="L143" i="1"/>
  <c r="I143" i="1"/>
  <c r="J143" i="1" s="1"/>
  <c r="K143" i="1" s="1"/>
  <c r="R143" i="1"/>
  <c r="Q143" i="1"/>
  <c r="H144" i="1"/>
  <c r="AB60" i="1"/>
  <c r="AD60" i="1" s="1"/>
  <c r="X60" i="1"/>
  <c r="AC60" i="1"/>
  <c r="T61" i="1"/>
  <c r="U60" i="1"/>
  <c r="V60" i="1" s="1"/>
  <c r="W60" i="1" s="1"/>
  <c r="M58" i="1"/>
  <c r="N58" i="1" s="1"/>
  <c r="M142" i="1"/>
  <c r="N142" i="1" s="1"/>
  <c r="AI144" i="1" l="1"/>
  <c r="AJ144" i="1" s="1"/>
  <c r="AK144" i="1" s="1"/>
  <c r="AH145" i="1"/>
  <c r="AQ144" i="1"/>
  <c r="AP144" i="1"/>
  <c r="AR144" i="1" s="1"/>
  <c r="AL144" i="1"/>
  <c r="AM144" i="1" s="1"/>
  <c r="AN144" i="1" s="1"/>
  <c r="X146" i="1"/>
  <c r="U146" i="1"/>
  <c r="V146" i="1" s="1"/>
  <c r="W146" i="1" s="1"/>
  <c r="T147" i="1"/>
  <c r="AC146" i="1"/>
  <c r="AB146" i="1"/>
  <c r="AD146" i="1" s="1"/>
  <c r="M59" i="1"/>
  <c r="N59" i="1" s="1"/>
  <c r="M143" i="1"/>
  <c r="N143" i="1" s="1"/>
  <c r="AI62" i="1"/>
  <c r="AJ62" i="1" s="1"/>
  <c r="AK62" i="1" s="1"/>
  <c r="AH63" i="1"/>
  <c r="AQ62" i="1"/>
  <c r="AP62" i="1"/>
  <c r="AR62" i="1" s="1"/>
  <c r="AL62" i="1"/>
  <c r="AM62" i="1" s="1"/>
  <c r="AN62" i="1" s="1"/>
  <c r="H145" i="1"/>
  <c r="Q144" i="1"/>
  <c r="P144" i="1"/>
  <c r="R144" i="1" s="1"/>
  <c r="L144" i="1"/>
  <c r="I144" i="1"/>
  <c r="J144" i="1" s="1"/>
  <c r="K144" i="1" s="1"/>
  <c r="T62" i="1"/>
  <c r="AC61" i="1"/>
  <c r="X61" i="1"/>
  <c r="U61" i="1"/>
  <c r="V61" i="1" s="1"/>
  <c r="W61" i="1" s="1"/>
  <c r="AB61" i="1"/>
  <c r="AD61" i="1" s="1"/>
  <c r="Q60" i="1"/>
  <c r="O60" i="1"/>
  <c r="P60" i="1" s="1"/>
  <c r="R60" i="1" s="1"/>
  <c r="I60" i="1"/>
  <c r="J60" i="1" s="1"/>
  <c r="K60" i="1" s="1"/>
  <c r="H61" i="1"/>
  <c r="L60" i="1"/>
  <c r="AM143" i="1"/>
  <c r="AN143" i="1" s="1"/>
  <c r="AM61" i="1"/>
  <c r="AN61" i="1" s="1"/>
  <c r="Y60" i="1"/>
  <c r="Z60" i="1" s="1"/>
  <c r="X147" i="1" l="1"/>
  <c r="T148" i="1"/>
  <c r="AC147" i="1"/>
  <c r="AB147" i="1"/>
  <c r="AD147" i="1" s="1"/>
  <c r="U147" i="1"/>
  <c r="V147" i="1" s="1"/>
  <c r="W147" i="1" s="1"/>
  <c r="Y146" i="1"/>
  <c r="Z146" i="1" s="1"/>
  <c r="Y61" i="1"/>
  <c r="Z61" i="1" s="1"/>
  <c r="I145" i="1"/>
  <c r="J145" i="1" s="1"/>
  <c r="K145" i="1" s="1"/>
  <c r="R145" i="1"/>
  <c r="H146" i="1"/>
  <c r="Q145" i="1"/>
  <c r="P145" i="1"/>
  <c r="L145" i="1"/>
  <c r="AI63" i="1"/>
  <c r="AJ63" i="1" s="1"/>
  <c r="AK63" i="1" s="1"/>
  <c r="AQ63" i="1"/>
  <c r="AP63" i="1"/>
  <c r="AR63" i="1" s="1"/>
  <c r="AL63" i="1"/>
  <c r="AM63" i="1" s="1"/>
  <c r="AN63" i="1" s="1"/>
  <c r="AH64" i="1"/>
  <c r="P61" i="1"/>
  <c r="R61" i="1" s="1"/>
  <c r="L61" i="1"/>
  <c r="M61" i="1" s="1"/>
  <c r="N61" i="1" s="1"/>
  <c r="Q61" i="1"/>
  <c r="H62" i="1"/>
  <c r="O61" i="1"/>
  <c r="I61" i="1"/>
  <c r="J61" i="1" s="1"/>
  <c r="K61" i="1" s="1"/>
  <c r="M60" i="1"/>
  <c r="N60" i="1" s="1"/>
  <c r="T63" i="1"/>
  <c r="AB62" i="1"/>
  <c r="AD62" i="1" s="1"/>
  <c r="X62" i="1"/>
  <c r="AC62" i="1"/>
  <c r="U62" i="1"/>
  <c r="V62" i="1" s="1"/>
  <c r="W62" i="1" s="1"/>
  <c r="AL145" i="1"/>
  <c r="AI145" i="1"/>
  <c r="AJ145" i="1" s="1"/>
  <c r="AK145" i="1" s="1"/>
  <c r="AH146" i="1"/>
  <c r="AQ145" i="1"/>
  <c r="AP145" i="1"/>
  <c r="AR145" i="1"/>
  <c r="M144" i="1"/>
  <c r="N144" i="1" s="1"/>
  <c r="AM145" i="1" l="1"/>
  <c r="AN145" i="1" s="1"/>
  <c r="Y62" i="1"/>
  <c r="Z62" i="1" s="1"/>
  <c r="U63" i="1"/>
  <c r="V63" i="1" s="1"/>
  <c r="W63" i="1" s="1"/>
  <c r="T64" i="1"/>
  <c r="AC63" i="1"/>
  <c r="AB63" i="1"/>
  <c r="X63" i="1"/>
  <c r="Y63" i="1" s="1"/>
  <c r="Z63" i="1" s="1"/>
  <c r="AD63" i="1"/>
  <c r="AI64" i="1"/>
  <c r="AJ64" i="1" s="1"/>
  <c r="AK64" i="1" s="1"/>
  <c r="AH65" i="1"/>
  <c r="AR64" i="1"/>
  <c r="AQ64" i="1"/>
  <c r="AP64" i="1"/>
  <c r="AL64" i="1"/>
  <c r="M145" i="1"/>
  <c r="N145" i="1" s="1"/>
  <c r="AB148" i="1"/>
  <c r="X148" i="1"/>
  <c r="U148" i="1"/>
  <c r="V148" i="1" s="1"/>
  <c r="W148" i="1" s="1"/>
  <c r="T149" i="1"/>
  <c r="AD148" i="1"/>
  <c r="AC148" i="1"/>
  <c r="L146" i="1"/>
  <c r="I146" i="1"/>
  <c r="J146" i="1" s="1"/>
  <c r="K146" i="1" s="1"/>
  <c r="R146" i="1"/>
  <c r="Q146" i="1"/>
  <c r="P146" i="1"/>
  <c r="H147" i="1"/>
  <c r="AL146" i="1"/>
  <c r="AH147" i="1"/>
  <c r="AQ146" i="1"/>
  <c r="AP146" i="1"/>
  <c r="AR146" i="1" s="1"/>
  <c r="AI146" i="1"/>
  <c r="AJ146" i="1" s="1"/>
  <c r="AK146" i="1" s="1"/>
  <c r="H63" i="1"/>
  <c r="Q62" i="1"/>
  <c r="O62" i="1"/>
  <c r="P62" i="1" s="1"/>
  <c r="R62" i="1" s="1"/>
  <c r="L62" i="1"/>
  <c r="I62" i="1"/>
  <c r="J62" i="1" s="1"/>
  <c r="K62" i="1" s="1"/>
  <c r="Y147" i="1"/>
  <c r="Z147" i="1" s="1"/>
  <c r="AL65" i="1" l="1"/>
  <c r="AH66" i="1"/>
  <c r="AQ65" i="1"/>
  <c r="AP65" i="1"/>
  <c r="AR65" i="1" s="1"/>
  <c r="AI65" i="1"/>
  <c r="AJ65" i="1" s="1"/>
  <c r="AK65" i="1" s="1"/>
  <c r="M146" i="1"/>
  <c r="N146" i="1" s="1"/>
  <c r="AC149" i="1"/>
  <c r="AB149" i="1"/>
  <c r="AD149" i="1" s="1"/>
  <c r="X149" i="1"/>
  <c r="U149" i="1"/>
  <c r="V149" i="1" s="1"/>
  <c r="W149" i="1" s="1"/>
  <c r="T150" i="1"/>
  <c r="Y148" i="1"/>
  <c r="Z148" i="1" s="1"/>
  <c r="AM146" i="1"/>
  <c r="AN146" i="1" s="1"/>
  <c r="U64" i="1"/>
  <c r="V64" i="1" s="1"/>
  <c r="W64" i="1" s="1"/>
  <c r="AC64" i="1"/>
  <c r="AB64" i="1"/>
  <c r="AD64" i="1" s="1"/>
  <c r="X64" i="1"/>
  <c r="Y64" i="1" s="1"/>
  <c r="Z64" i="1" s="1"/>
  <c r="T65" i="1"/>
  <c r="L147" i="1"/>
  <c r="I147" i="1"/>
  <c r="J147" i="1" s="1"/>
  <c r="K147" i="1" s="1"/>
  <c r="H148" i="1"/>
  <c r="Q147" i="1"/>
  <c r="P147" i="1"/>
  <c r="R147" i="1" s="1"/>
  <c r="AM64" i="1"/>
  <c r="AN64" i="1" s="1"/>
  <c r="H64" i="1"/>
  <c r="O63" i="1"/>
  <c r="P63" i="1" s="1"/>
  <c r="R63" i="1" s="1"/>
  <c r="L63" i="1"/>
  <c r="Q63" i="1"/>
  <c r="I63" i="1"/>
  <c r="J63" i="1" s="1"/>
  <c r="K63" i="1" s="1"/>
  <c r="AP147" i="1"/>
  <c r="AR147" i="1" s="1"/>
  <c r="AL147" i="1"/>
  <c r="AI147" i="1"/>
  <c r="AJ147" i="1" s="1"/>
  <c r="AK147" i="1" s="1"/>
  <c r="AH148" i="1"/>
  <c r="AQ147" i="1"/>
  <c r="M62" i="1"/>
  <c r="N62" i="1" s="1"/>
  <c r="AC150" i="1" l="1"/>
  <c r="AB150" i="1"/>
  <c r="AD150" i="1" s="1"/>
  <c r="U150" i="1"/>
  <c r="V150" i="1" s="1"/>
  <c r="W150" i="1" s="1"/>
  <c r="T151" i="1"/>
  <c r="X150" i="1"/>
  <c r="Y150" i="1" s="1"/>
  <c r="Z150" i="1" s="1"/>
  <c r="M147" i="1"/>
  <c r="N147" i="1" s="1"/>
  <c r="M63" i="1"/>
  <c r="N63" i="1" s="1"/>
  <c r="U65" i="1"/>
  <c r="V65" i="1" s="1"/>
  <c r="W65" i="1" s="1"/>
  <c r="AD65" i="1"/>
  <c r="T66" i="1"/>
  <c r="AC65" i="1"/>
  <c r="AB65" i="1"/>
  <c r="X65" i="1"/>
  <c r="AQ148" i="1"/>
  <c r="AP148" i="1"/>
  <c r="AL148" i="1"/>
  <c r="AI148" i="1"/>
  <c r="AJ148" i="1" s="1"/>
  <c r="AK148" i="1" s="1"/>
  <c r="AR148" i="1"/>
  <c r="AH149" i="1"/>
  <c r="AI66" i="1"/>
  <c r="AJ66" i="1" s="1"/>
  <c r="AK66" i="1" s="1"/>
  <c r="AH67" i="1"/>
  <c r="AQ66" i="1"/>
  <c r="AR66" i="1"/>
  <c r="AP66" i="1"/>
  <c r="AL66" i="1"/>
  <c r="L148" i="1"/>
  <c r="H149" i="1"/>
  <c r="Q148" i="1"/>
  <c r="P148" i="1"/>
  <c r="R148" i="1" s="1"/>
  <c r="I148" i="1"/>
  <c r="J148" i="1" s="1"/>
  <c r="K148" i="1" s="1"/>
  <c r="Y149" i="1"/>
  <c r="Z149" i="1" s="1"/>
  <c r="I64" i="1"/>
  <c r="J64" i="1" s="1"/>
  <c r="K64" i="1" s="1"/>
  <c r="H65" i="1"/>
  <c r="Q64" i="1"/>
  <c r="O64" i="1"/>
  <c r="P64" i="1" s="1"/>
  <c r="R64" i="1" s="1"/>
  <c r="L64" i="1"/>
  <c r="AM147" i="1"/>
  <c r="AN147" i="1" s="1"/>
  <c r="AM65" i="1"/>
  <c r="AN65" i="1" s="1"/>
  <c r="X66" i="1" l="1"/>
  <c r="U66" i="1"/>
  <c r="V66" i="1" s="1"/>
  <c r="W66" i="1" s="1"/>
  <c r="AB66" i="1"/>
  <c r="AD66" i="1" s="1"/>
  <c r="T67" i="1"/>
  <c r="AC66" i="1"/>
  <c r="I65" i="1"/>
  <c r="J65" i="1" s="1"/>
  <c r="K65" i="1" s="1"/>
  <c r="H66" i="1"/>
  <c r="Q65" i="1"/>
  <c r="O65" i="1"/>
  <c r="P65" i="1" s="1"/>
  <c r="R65" i="1" s="1"/>
  <c r="L65" i="1"/>
  <c r="AM148" i="1"/>
  <c r="AN148" i="1" s="1"/>
  <c r="T152" i="1"/>
  <c r="AC151" i="1"/>
  <c r="AB151" i="1"/>
  <c r="AD151" i="1" s="1"/>
  <c r="X151" i="1"/>
  <c r="U151" i="1"/>
  <c r="V151" i="1" s="1"/>
  <c r="W151" i="1" s="1"/>
  <c r="M64" i="1"/>
  <c r="N64" i="1" s="1"/>
  <c r="AR67" i="1"/>
  <c r="AH68" i="1"/>
  <c r="AQ67" i="1"/>
  <c r="AP67" i="1"/>
  <c r="AL67" i="1"/>
  <c r="AI67" i="1"/>
  <c r="AJ67" i="1" s="1"/>
  <c r="AK67" i="1" s="1"/>
  <c r="AQ149" i="1"/>
  <c r="AP149" i="1"/>
  <c r="AR149" i="1" s="1"/>
  <c r="AI149" i="1"/>
  <c r="AJ149" i="1" s="1"/>
  <c r="AK149" i="1" s="1"/>
  <c r="AL149" i="1"/>
  <c r="AH150" i="1"/>
  <c r="M148" i="1"/>
  <c r="N148" i="1" s="1"/>
  <c r="AM66" i="1"/>
  <c r="AN66" i="1" s="1"/>
  <c r="Y65" i="1"/>
  <c r="Z65" i="1" s="1"/>
  <c r="P149" i="1"/>
  <c r="L149" i="1"/>
  <c r="I149" i="1"/>
  <c r="J149" i="1" s="1"/>
  <c r="K149" i="1" s="1"/>
  <c r="H150" i="1"/>
  <c r="R149" i="1"/>
  <c r="Q149" i="1"/>
  <c r="AI68" i="1" l="1"/>
  <c r="AJ68" i="1" s="1"/>
  <c r="AK68" i="1" s="1"/>
  <c r="AH69" i="1"/>
  <c r="AQ68" i="1"/>
  <c r="AP68" i="1"/>
  <c r="AR68" i="1"/>
  <c r="AL68" i="1"/>
  <c r="AM68" i="1" s="1"/>
  <c r="AN68" i="1" s="1"/>
  <c r="L66" i="1"/>
  <c r="I66" i="1"/>
  <c r="J66" i="1" s="1"/>
  <c r="K66" i="1" s="1"/>
  <c r="H67" i="1"/>
  <c r="Q66" i="1"/>
  <c r="O66" i="1"/>
  <c r="P66" i="1" s="1"/>
  <c r="R66" i="1" s="1"/>
  <c r="AH151" i="1"/>
  <c r="AQ150" i="1"/>
  <c r="AP150" i="1"/>
  <c r="AR150" i="1" s="1"/>
  <c r="AL150" i="1"/>
  <c r="AI150" i="1"/>
  <c r="AJ150" i="1" s="1"/>
  <c r="AK150" i="1" s="1"/>
  <c r="Y151" i="1"/>
  <c r="Z151" i="1" s="1"/>
  <c r="T68" i="1"/>
  <c r="AC67" i="1"/>
  <c r="AB67" i="1"/>
  <c r="AD67" i="1" s="1"/>
  <c r="X67" i="1"/>
  <c r="Y67" i="1" s="1"/>
  <c r="Z67" i="1" s="1"/>
  <c r="U67" i="1"/>
  <c r="V67" i="1" s="1"/>
  <c r="W67" i="1" s="1"/>
  <c r="Q150" i="1"/>
  <c r="P150" i="1"/>
  <c r="L150" i="1"/>
  <c r="I150" i="1"/>
  <c r="J150" i="1" s="1"/>
  <c r="K150" i="1" s="1"/>
  <c r="H151" i="1"/>
  <c r="R150" i="1"/>
  <c r="AM149" i="1"/>
  <c r="AN149" i="1" s="1"/>
  <c r="T153" i="1"/>
  <c r="AD152" i="1"/>
  <c r="AC152" i="1"/>
  <c r="AB152" i="1"/>
  <c r="X152" i="1"/>
  <c r="U152" i="1"/>
  <c r="V152" i="1" s="1"/>
  <c r="W152" i="1" s="1"/>
  <c r="M149" i="1"/>
  <c r="N149" i="1" s="1"/>
  <c r="AM67" i="1"/>
  <c r="AN67" i="1" s="1"/>
  <c r="M65" i="1"/>
  <c r="N65" i="1" s="1"/>
  <c r="Y66" i="1"/>
  <c r="Z66" i="1" s="1"/>
  <c r="O67" i="1" l="1"/>
  <c r="P67" i="1" s="1"/>
  <c r="R67" i="1" s="1"/>
  <c r="L67" i="1"/>
  <c r="I67" i="1"/>
  <c r="J67" i="1" s="1"/>
  <c r="K67" i="1" s="1"/>
  <c r="Q67" i="1"/>
  <c r="H68" i="1"/>
  <c r="AB68" i="1"/>
  <c r="AD68" i="1" s="1"/>
  <c r="X68" i="1"/>
  <c r="AC68" i="1"/>
  <c r="U68" i="1"/>
  <c r="V68" i="1" s="1"/>
  <c r="W68" i="1" s="1"/>
  <c r="T69" i="1"/>
  <c r="M66" i="1"/>
  <c r="N66" i="1" s="1"/>
  <c r="AM150" i="1"/>
  <c r="AN150" i="1" s="1"/>
  <c r="M150" i="1"/>
  <c r="N150" i="1" s="1"/>
  <c r="Q151" i="1"/>
  <c r="P151" i="1"/>
  <c r="R151" i="1" s="1"/>
  <c r="I151" i="1"/>
  <c r="J151" i="1" s="1"/>
  <c r="K151" i="1" s="1"/>
  <c r="H152" i="1"/>
  <c r="L151" i="1"/>
  <c r="Y152" i="1"/>
  <c r="Z152" i="1" s="1"/>
  <c r="AH152" i="1"/>
  <c r="AQ151" i="1"/>
  <c r="AP151" i="1"/>
  <c r="AR151" i="1" s="1"/>
  <c r="AL151" i="1"/>
  <c r="AI151" i="1"/>
  <c r="AJ151" i="1" s="1"/>
  <c r="AK151" i="1" s="1"/>
  <c r="AL69" i="1"/>
  <c r="AH70" i="1"/>
  <c r="AQ69" i="1"/>
  <c r="AP69" i="1"/>
  <c r="AR69" i="1" s="1"/>
  <c r="AI69" i="1"/>
  <c r="AJ69" i="1" s="1"/>
  <c r="AK69" i="1" s="1"/>
  <c r="U153" i="1"/>
  <c r="V153" i="1" s="1"/>
  <c r="W153" i="1" s="1"/>
  <c r="T154" i="1"/>
  <c r="AC153" i="1"/>
  <c r="AB153" i="1"/>
  <c r="AD153" i="1" s="1"/>
  <c r="X153" i="1"/>
  <c r="H69" i="1" l="1"/>
  <c r="Q68" i="1"/>
  <c r="O68" i="1"/>
  <c r="L68" i="1"/>
  <c r="I68" i="1"/>
  <c r="J68" i="1" s="1"/>
  <c r="K68" i="1" s="1"/>
  <c r="P68" i="1"/>
  <c r="R68" i="1" s="1"/>
  <c r="AI152" i="1"/>
  <c r="AJ152" i="1" s="1"/>
  <c r="AK152" i="1" s="1"/>
  <c r="AH153" i="1"/>
  <c r="AQ152" i="1"/>
  <c r="AP152" i="1"/>
  <c r="AR152" i="1" s="1"/>
  <c r="AL152" i="1"/>
  <c r="Y68" i="1"/>
  <c r="Z68" i="1" s="1"/>
  <c r="AI70" i="1"/>
  <c r="AJ70" i="1" s="1"/>
  <c r="AK70" i="1" s="1"/>
  <c r="AH71" i="1"/>
  <c r="AQ70" i="1"/>
  <c r="AP70" i="1"/>
  <c r="AR70" i="1" s="1"/>
  <c r="AL70" i="1"/>
  <c r="AM70" i="1" s="1"/>
  <c r="AN70" i="1" s="1"/>
  <c r="H153" i="1"/>
  <c r="Q152" i="1"/>
  <c r="P152" i="1"/>
  <c r="R152" i="1" s="1"/>
  <c r="L152" i="1"/>
  <c r="I152" i="1"/>
  <c r="J152" i="1" s="1"/>
  <c r="K152" i="1" s="1"/>
  <c r="Y153" i="1"/>
  <c r="Z153" i="1" s="1"/>
  <c r="M67" i="1"/>
  <c r="N67" i="1" s="1"/>
  <c r="AM69" i="1"/>
  <c r="AN69" i="1" s="1"/>
  <c r="AM151" i="1"/>
  <c r="AN151" i="1" s="1"/>
  <c r="M151" i="1"/>
  <c r="N151" i="1" s="1"/>
  <c r="U154" i="1"/>
  <c r="V154" i="1" s="1"/>
  <c r="W154" i="1" s="1"/>
  <c r="T155" i="1"/>
  <c r="AC154" i="1"/>
  <c r="AB154" i="1"/>
  <c r="AD154" i="1" s="1"/>
  <c r="X154" i="1"/>
  <c r="U69" i="1"/>
  <c r="V69" i="1" s="1"/>
  <c r="W69" i="1" s="1"/>
  <c r="T70" i="1"/>
  <c r="AC69" i="1"/>
  <c r="AB69" i="1"/>
  <c r="AD69" i="1" s="1"/>
  <c r="X69" i="1"/>
  <c r="Y69" i="1" s="1"/>
  <c r="Z69" i="1" s="1"/>
  <c r="U155" i="1" l="1"/>
  <c r="V155" i="1" s="1"/>
  <c r="W155" i="1" s="1"/>
  <c r="T156" i="1"/>
  <c r="AC155" i="1"/>
  <c r="AB155" i="1"/>
  <c r="AD155" i="1" s="1"/>
  <c r="X155" i="1"/>
  <c r="Y155" i="1" s="1"/>
  <c r="Z155" i="1" s="1"/>
  <c r="H154" i="1"/>
  <c r="Q153" i="1"/>
  <c r="P153" i="1"/>
  <c r="R153" i="1" s="1"/>
  <c r="L153" i="1"/>
  <c r="I153" i="1"/>
  <c r="J153" i="1" s="1"/>
  <c r="K153" i="1" s="1"/>
  <c r="AI153" i="1"/>
  <c r="AJ153" i="1" s="1"/>
  <c r="AK153" i="1" s="1"/>
  <c r="AH154" i="1"/>
  <c r="AQ153" i="1"/>
  <c r="AP153" i="1"/>
  <c r="AR153" i="1" s="1"/>
  <c r="AL153" i="1"/>
  <c r="AM153" i="1" s="1"/>
  <c r="AN153" i="1" s="1"/>
  <c r="M68" i="1"/>
  <c r="N68" i="1" s="1"/>
  <c r="X70" i="1"/>
  <c r="U70" i="1"/>
  <c r="V70" i="1" s="1"/>
  <c r="W70" i="1" s="1"/>
  <c r="AB70" i="1"/>
  <c r="AD70" i="1" s="1"/>
  <c r="AC70" i="1"/>
  <c r="T71" i="1"/>
  <c r="AH72" i="1"/>
  <c r="AQ71" i="1"/>
  <c r="AP71" i="1"/>
  <c r="AR71" i="1" s="1"/>
  <c r="AL71" i="1"/>
  <c r="AI71" i="1"/>
  <c r="AJ71" i="1" s="1"/>
  <c r="AK71" i="1" s="1"/>
  <c r="I69" i="1"/>
  <c r="J69" i="1" s="1"/>
  <c r="K69" i="1" s="1"/>
  <c r="H70" i="1"/>
  <c r="Q69" i="1"/>
  <c r="P69" i="1"/>
  <c r="R69" i="1" s="1"/>
  <c r="O69" i="1"/>
  <c r="L69" i="1"/>
  <c r="Y154" i="1"/>
  <c r="Z154" i="1" s="1"/>
  <c r="M152" i="1"/>
  <c r="N152" i="1" s="1"/>
  <c r="AM152" i="1"/>
  <c r="AN152" i="1" s="1"/>
  <c r="L70" i="1" l="1"/>
  <c r="I70" i="1"/>
  <c r="J70" i="1" s="1"/>
  <c r="K70" i="1" s="1"/>
  <c r="H71" i="1"/>
  <c r="Q70" i="1"/>
  <c r="O70" i="1"/>
  <c r="P70" i="1" s="1"/>
  <c r="R70" i="1" s="1"/>
  <c r="M153" i="1"/>
  <c r="N153" i="1" s="1"/>
  <c r="I154" i="1"/>
  <c r="J154" i="1" s="1"/>
  <c r="K154" i="1" s="1"/>
  <c r="H155" i="1"/>
  <c r="R154" i="1"/>
  <c r="Q154" i="1"/>
  <c r="P154" i="1"/>
  <c r="L154" i="1"/>
  <c r="Y70" i="1"/>
  <c r="Z70" i="1" s="1"/>
  <c r="AM71" i="1"/>
  <c r="AN71" i="1" s="1"/>
  <c r="AI72" i="1"/>
  <c r="AJ72" i="1" s="1"/>
  <c r="AK72" i="1" s="1"/>
  <c r="AH73" i="1"/>
  <c r="AQ72" i="1"/>
  <c r="AP72" i="1"/>
  <c r="AR72" i="1"/>
  <c r="AL72" i="1"/>
  <c r="AM72" i="1" s="1"/>
  <c r="AN72" i="1" s="1"/>
  <c r="M69" i="1"/>
  <c r="N69" i="1" s="1"/>
  <c r="AI154" i="1"/>
  <c r="AJ154" i="1" s="1"/>
  <c r="AK154" i="1" s="1"/>
  <c r="AH155" i="1"/>
  <c r="AQ154" i="1"/>
  <c r="AP154" i="1"/>
  <c r="AR154" i="1" s="1"/>
  <c r="AL154" i="1"/>
  <c r="X156" i="1"/>
  <c r="U156" i="1"/>
  <c r="V156" i="1" s="1"/>
  <c r="W156" i="1" s="1"/>
  <c r="T157" i="1"/>
  <c r="AC156" i="1"/>
  <c r="AB156" i="1"/>
  <c r="AD156" i="1" s="1"/>
  <c r="T72" i="1"/>
  <c r="AC71" i="1"/>
  <c r="AB71" i="1"/>
  <c r="X71" i="1"/>
  <c r="U71" i="1"/>
  <c r="V71" i="1" s="1"/>
  <c r="W71" i="1" s="1"/>
  <c r="AD71" i="1"/>
  <c r="AB72" i="1" l="1"/>
  <c r="AD72" i="1" s="1"/>
  <c r="X72" i="1"/>
  <c r="T73" i="1"/>
  <c r="AC72" i="1"/>
  <c r="U72" i="1"/>
  <c r="V72" i="1" s="1"/>
  <c r="W72" i="1" s="1"/>
  <c r="X157" i="1"/>
  <c r="U157" i="1"/>
  <c r="V157" i="1" s="1"/>
  <c r="W157" i="1" s="1"/>
  <c r="T158" i="1"/>
  <c r="AC157" i="1"/>
  <c r="AB157" i="1"/>
  <c r="AD157" i="1" s="1"/>
  <c r="O71" i="1"/>
  <c r="P71" i="1" s="1"/>
  <c r="R71" i="1" s="1"/>
  <c r="L71" i="1"/>
  <c r="I71" i="1"/>
  <c r="J71" i="1" s="1"/>
  <c r="K71" i="1" s="1"/>
  <c r="H72" i="1"/>
  <c r="Q71" i="1"/>
  <c r="AL73" i="1"/>
  <c r="AM73" i="1" s="1"/>
  <c r="AN73" i="1" s="1"/>
  <c r="AH74" i="1"/>
  <c r="AQ73" i="1"/>
  <c r="AP73" i="1"/>
  <c r="AR73" i="1" s="1"/>
  <c r="AI73" i="1"/>
  <c r="AJ73" i="1" s="1"/>
  <c r="AK73" i="1" s="1"/>
  <c r="Y71" i="1"/>
  <c r="Z71" i="1" s="1"/>
  <c r="I155" i="1"/>
  <c r="J155" i="1" s="1"/>
  <c r="K155" i="1" s="1"/>
  <c r="H156" i="1"/>
  <c r="Q155" i="1"/>
  <c r="P155" i="1"/>
  <c r="R155" i="1" s="1"/>
  <c r="L155" i="1"/>
  <c r="M155" i="1" s="1"/>
  <c r="N155" i="1" s="1"/>
  <c r="Y156" i="1"/>
  <c r="Z156" i="1" s="1"/>
  <c r="M154" i="1"/>
  <c r="N154" i="1" s="1"/>
  <c r="AM154" i="1"/>
  <c r="AN154" i="1" s="1"/>
  <c r="AL155" i="1"/>
  <c r="AM155" i="1" s="1"/>
  <c r="AN155" i="1" s="1"/>
  <c r="AI155" i="1"/>
  <c r="AJ155" i="1" s="1"/>
  <c r="AK155" i="1" s="1"/>
  <c r="AH156" i="1"/>
  <c r="AQ155" i="1"/>
  <c r="AP155" i="1"/>
  <c r="AR155" i="1" s="1"/>
  <c r="M70" i="1"/>
  <c r="N70" i="1" s="1"/>
  <c r="Y157" i="1" l="1"/>
  <c r="Z157" i="1" s="1"/>
  <c r="AI74" i="1"/>
  <c r="AJ74" i="1" s="1"/>
  <c r="AK74" i="1" s="1"/>
  <c r="AH75" i="1"/>
  <c r="AQ74" i="1"/>
  <c r="AP74" i="1"/>
  <c r="AR74" i="1" s="1"/>
  <c r="AL74" i="1"/>
  <c r="AM74" i="1" s="1"/>
  <c r="AN74" i="1" s="1"/>
  <c r="I156" i="1"/>
  <c r="J156" i="1" s="1"/>
  <c r="K156" i="1" s="1"/>
  <c r="H157" i="1"/>
  <c r="Q156" i="1"/>
  <c r="P156" i="1"/>
  <c r="R156" i="1" s="1"/>
  <c r="L156" i="1"/>
  <c r="U73" i="1"/>
  <c r="V73" i="1" s="1"/>
  <c r="W73" i="1" s="1"/>
  <c r="T74" i="1"/>
  <c r="AC73" i="1"/>
  <c r="AB73" i="1"/>
  <c r="AD73" i="1" s="1"/>
  <c r="X73" i="1"/>
  <c r="Y73" i="1" s="1"/>
  <c r="Z73" i="1" s="1"/>
  <c r="AC158" i="1"/>
  <c r="AB158" i="1"/>
  <c r="AD158" i="1" s="1"/>
  <c r="X158" i="1"/>
  <c r="U158" i="1"/>
  <c r="V158" i="1" s="1"/>
  <c r="W158" i="1" s="1"/>
  <c r="T159" i="1"/>
  <c r="M71" i="1"/>
  <c r="N71" i="1" s="1"/>
  <c r="Y72" i="1"/>
  <c r="Z72" i="1" s="1"/>
  <c r="H73" i="1"/>
  <c r="Q72" i="1"/>
  <c r="O72" i="1"/>
  <c r="L72" i="1"/>
  <c r="I72" i="1"/>
  <c r="J72" i="1" s="1"/>
  <c r="K72" i="1" s="1"/>
  <c r="P72" i="1"/>
  <c r="R72" i="1" s="1"/>
  <c r="AL156" i="1"/>
  <c r="AI156" i="1"/>
  <c r="AJ156" i="1" s="1"/>
  <c r="AK156" i="1" s="1"/>
  <c r="AR156" i="1"/>
  <c r="AH157" i="1"/>
  <c r="AQ156" i="1"/>
  <c r="AP156" i="1"/>
  <c r="Y158" i="1" l="1"/>
  <c r="Z158" i="1" s="1"/>
  <c r="I73" i="1"/>
  <c r="J73" i="1" s="1"/>
  <c r="K73" i="1" s="1"/>
  <c r="H74" i="1"/>
  <c r="Q73" i="1"/>
  <c r="O73" i="1"/>
  <c r="P73" i="1" s="1"/>
  <c r="R73" i="1" s="1"/>
  <c r="L73" i="1"/>
  <c r="M73" i="1" s="1"/>
  <c r="N73" i="1" s="1"/>
  <c r="M72" i="1"/>
  <c r="N72" i="1" s="1"/>
  <c r="X74" i="1"/>
  <c r="U74" i="1"/>
  <c r="V74" i="1" s="1"/>
  <c r="W74" i="1" s="1"/>
  <c r="AD74" i="1"/>
  <c r="AB74" i="1"/>
  <c r="AC74" i="1"/>
  <c r="T75" i="1"/>
  <c r="AH76" i="1"/>
  <c r="AQ75" i="1"/>
  <c r="AP75" i="1"/>
  <c r="AR75" i="1" s="1"/>
  <c r="AL75" i="1"/>
  <c r="AI75" i="1"/>
  <c r="AJ75" i="1" s="1"/>
  <c r="AK75" i="1" s="1"/>
  <c r="AM156" i="1"/>
  <c r="AN156" i="1" s="1"/>
  <c r="AP157" i="1"/>
  <c r="AR157" i="1" s="1"/>
  <c r="AL157" i="1"/>
  <c r="AM157" i="1" s="1"/>
  <c r="AN157" i="1" s="1"/>
  <c r="AI157" i="1"/>
  <c r="AJ157" i="1" s="1"/>
  <c r="AK157" i="1" s="1"/>
  <c r="AH158" i="1"/>
  <c r="AQ157" i="1"/>
  <c r="L157" i="1"/>
  <c r="I157" i="1"/>
  <c r="J157" i="1" s="1"/>
  <c r="K157" i="1" s="1"/>
  <c r="H158" i="1"/>
  <c r="Q157" i="1"/>
  <c r="P157" i="1"/>
  <c r="R157" i="1" s="1"/>
  <c r="T160" i="1"/>
  <c r="AD159" i="1"/>
  <c r="AC159" i="1"/>
  <c r="AB159" i="1"/>
  <c r="X159" i="1"/>
  <c r="U159" i="1"/>
  <c r="V159" i="1" s="1"/>
  <c r="W159" i="1" s="1"/>
  <c r="M156" i="1"/>
  <c r="N156" i="1" s="1"/>
  <c r="Y74" i="1" l="1"/>
  <c r="Z74" i="1" s="1"/>
  <c r="AM75" i="1"/>
  <c r="AN75" i="1" s="1"/>
  <c r="M157" i="1"/>
  <c r="N157" i="1" s="1"/>
  <c r="AI76" i="1"/>
  <c r="AJ76" i="1" s="1"/>
  <c r="AK76" i="1" s="1"/>
  <c r="AH77" i="1"/>
  <c r="AQ76" i="1"/>
  <c r="AP76" i="1"/>
  <c r="AR76" i="1" s="1"/>
  <c r="AL76" i="1"/>
  <c r="AM76" i="1" s="1"/>
  <c r="AN76" i="1" s="1"/>
  <c r="L74" i="1"/>
  <c r="I74" i="1"/>
  <c r="J74" i="1" s="1"/>
  <c r="K74" i="1" s="1"/>
  <c r="R74" i="1"/>
  <c r="H75" i="1"/>
  <c r="Q74" i="1"/>
  <c r="O74" i="1"/>
  <c r="P74" i="1"/>
  <c r="Y159" i="1"/>
  <c r="Z159" i="1" s="1"/>
  <c r="AH159" i="1"/>
  <c r="AQ158" i="1"/>
  <c r="AP158" i="1"/>
  <c r="AR158" i="1" s="1"/>
  <c r="AL158" i="1"/>
  <c r="AI158" i="1"/>
  <c r="AJ158" i="1" s="1"/>
  <c r="AK158" i="1" s="1"/>
  <c r="T76" i="1"/>
  <c r="AC75" i="1"/>
  <c r="AB75" i="1"/>
  <c r="X75" i="1"/>
  <c r="U75" i="1"/>
  <c r="V75" i="1" s="1"/>
  <c r="W75" i="1" s="1"/>
  <c r="AD75" i="1"/>
  <c r="Q158" i="1"/>
  <c r="P158" i="1"/>
  <c r="L158" i="1"/>
  <c r="I158" i="1"/>
  <c r="J158" i="1" s="1"/>
  <c r="K158" i="1" s="1"/>
  <c r="H159" i="1"/>
  <c r="R158" i="1"/>
  <c r="T161" i="1"/>
  <c r="AC160" i="1"/>
  <c r="AB160" i="1"/>
  <c r="AD160" i="1" s="1"/>
  <c r="X160" i="1"/>
  <c r="U160" i="1"/>
  <c r="V160" i="1" s="1"/>
  <c r="W160" i="1" s="1"/>
  <c r="M74" i="1" l="1"/>
  <c r="N74" i="1" s="1"/>
  <c r="AH160" i="1"/>
  <c r="AQ159" i="1"/>
  <c r="AP159" i="1"/>
  <c r="AR159" i="1" s="1"/>
  <c r="AL159" i="1"/>
  <c r="AI159" i="1"/>
  <c r="AJ159" i="1" s="1"/>
  <c r="AK159" i="1" s="1"/>
  <c r="AL77" i="1"/>
  <c r="AI77" i="1"/>
  <c r="AJ77" i="1" s="1"/>
  <c r="AK77" i="1" s="1"/>
  <c r="AR77" i="1"/>
  <c r="AH78" i="1"/>
  <c r="AQ77" i="1"/>
  <c r="AP77" i="1"/>
  <c r="U161" i="1"/>
  <c r="V161" i="1" s="1"/>
  <c r="W161" i="1" s="1"/>
  <c r="T162" i="1"/>
  <c r="AC161" i="1"/>
  <c r="AB161" i="1"/>
  <c r="AD161" i="1" s="1"/>
  <c r="X161" i="1"/>
  <c r="Y161" i="1" s="1"/>
  <c r="Z161" i="1" s="1"/>
  <c r="Q159" i="1"/>
  <c r="P159" i="1"/>
  <c r="R159" i="1" s="1"/>
  <c r="L159" i="1"/>
  <c r="I159" i="1"/>
  <c r="J159" i="1" s="1"/>
  <c r="K159" i="1" s="1"/>
  <c r="H160" i="1"/>
  <c r="M158" i="1"/>
  <c r="N158" i="1" s="1"/>
  <c r="T77" i="1"/>
  <c r="AC76" i="1"/>
  <c r="AB76" i="1"/>
  <c r="AD76" i="1" s="1"/>
  <c r="X76" i="1"/>
  <c r="U76" i="1"/>
  <c r="V76" i="1" s="1"/>
  <c r="W76" i="1" s="1"/>
  <c r="Y75" i="1"/>
  <c r="Z75" i="1" s="1"/>
  <c r="AM158" i="1"/>
  <c r="AN158" i="1" s="1"/>
  <c r="Y160" i="1"/>
  <c r="Z160" i="1" s="1"/>
  <c r="P75" i="1"/>
  <c r="R75" i="1" s="1"/>
  <c r="O75" i="1"/>
  <c r="L75" i="1"/>
  <c r="I75" i="1"/>
  <c r="J75" i="1" s="1"/>
  <c r="K75" i="1" s="1"/>
  <c r="H76" i="1"/>
  <c r="Q75" i="1"/>
  <c r="M159" i="1" l="1"/>
  <c r="N159" i="1" s="1"/>
  <c r="AM77" i="1"/>
  <c r="AN77" i="1" s="1"/>
  <c r="AM159" i="1"/>
  <c r="AN159" i="1" s="1"/>
  <c r="H77" i="1"/>
  <c r="Q76" i="1"/>
  <c r="O76" i="1"/>
  <c r="L76" i="1"/>
  <c r="I76" i="1"/>
  <c r="J76" i="1" s="1"/>
  <c r="K76" i="1" s="1"/>
  <c r="P76" i="1"/>
  <c r="R76" i="1" s="1"/>
  <c r="Y76" i="1"/>
  <c r="Z76" i="1" s="1"/>
  <c r="U77" i="1"/>
  <c r="V77" i="1" s="1"/>
  <c r="W77" i="1" s="1"/>
  <c r="T78" i="1"/>
  <c r="AC77" i="1"/>
  <c r="AB77" i="1"/>
  <c r="AD77" i="1" s="1"/>
  <c r="X77" i="1"/>
  <c r="AL78" i="1"/>
  <c r="AI78" i="1"/>
  <c r="AJ78" i="1" s="1"/>
  <c r="AK78" i="1" s="1"/>
  <c r="AH79" i="1"/>
  <c r="AQ78" i="1"/>
  <c r="AP78" i="1"/>
  <c r="AR78" i="1" s="1"/>
  <c r="U162" i="1"/>
  <c r="V162" i="1" s="1"/>
  <c r="W162" i="1" s="1"/>
  <c r="T163" i="1"/>
  <c r="AC162" i="1"/>
  <c r="AB162" i="1"/>
  <c r="AD162" i="1" s="1"/>
  <c r="X162" i="1"/>
  <c r="M75" i="1"/>
  <c r="N75" i="1" s="1"/>
  <c r="AI160" i="1"/>
  <c r="AJ160" i="1" s="1"/>
  <c r="AK160" i="1" s="1"/>
  <c r="AH161" i="1"/>
  <c r="AQ160" i="1"/>
  <c r="AP160" i="1"/>
  <c r="AR160" i="1" s="1"/>
  <c r="AL160" i="1"/>
  <c r="AM160" i="1" s="1"/>
  <c r="AN160" i="1" s="1"/>
  <c r="H161" i="1"/>
  <c r="Q160" i="1"/>
  <c r="P160" i="1"/>
  <c r="R160" i="1" s="1"/>
  <c r="L160" i="1"/>
  <c r="I160" i="1"/>
  <c r="J160" i="1" s="1"/>
  <c r="K160" i="1" s="1"/>
  <c r="AH80" i="1" l="1"/>
  <c r="AQ79" i="1"/>
  <c r="AP79" i="1"/>
  <c r="AR79" i="1" s="1"/>
  <c r="AL79" i="1"/>
  <c r="AI79" i="1"/>
  <c r="AJ79" i="1" s="1"/>
  <c r="AK79" i="1" s="1"/>
  <c r="M76" i="1"/>
  <c r="N76" i="1" s="1"/>
  <c r="M160" i="1"/>
  <c r="N160" i="1" s="1"/>
  <c r="Y162" i="1"/>
  <c r="Z162" i="1" s="1"/>
  <c r="Y77" i="1"/>
  <c r="Z77" i="1" s="1"/>
  <c r="I77" i="1"/>
  <c r="J77" i="1" s="1"/>
  <c r="K77" i="1" s="1"/>
  <c r="H78" i="1"/>
  <c r="Q77" i="1"/>
  <c r="O77" i="1"/>
  <c r="P77" i="1" s="1"/>
  <c r="R77" i="1" s="1"/>
  <c r="L77" i="1"/>
  <c r="X78" i="1"/>
  <c r="U78" i="1"/>
  <c r="V78" i="1" s="1"/>
  <c r="W78" i="1" s="1"/>
  <c r="T79" i="1"/>
  <c r="AC78" i="1"/>
  <c r="AB78" i="1"/>
  <c r="AD78" i="1" s="1"/>
  <c r="AI161" i="1"/>
  <c r="AJ161" i="1" s="1"/>
  <c r="AK161" i="1" s="1"/>
  <c r="AH162" i="1"/>
  <c r="AQ161" i="1"/>
  <c r="AP161" i="1"/>
  <c r="AR161" i="1" s="1"/>
  <c r="AL161" i="1"/>
  <c r="AM78" i="1"/>
  <c r="AN78" i="1" s="1"/>
  <c r="H162" i="1"/>
  <c r="Q161" i="1"/>
  <c r="P161" i="1"/>
  <c r="R161" i="1" s="1"/>
  <c r="L161" i="1"/>
  <c r="I161" i="1"/>
  <c r="J161" i="1" s="1"/>
  <c r="K161" i="1" s="1"/>
  <c r="U163" i="1"/>
  <c r="V163" i="1" s="1"/>
  <c r="W163" i="1" s="1"/>
  <c r="T164" i="1"/>
  <c r="AC163" i="1"/>
  <c r="AB163" i="1"/>
  <c r="AD163" i="1" s="1"/>
  <c r="X163" i="1"/>
  <c r="Y163" i="1" s="1"/>
  <c r="Z163" i="1" s="1"/>
  <c r="M161" i="1" l="1"/>
  <c r="N161" i="1" s="1"/>
  <c r="M77" i="1"/>
  <c r="N77" i="1" s="1"/>
  <c r="AM79" i="1"/>
  <c r="AN79" i="1" s="1"/>
  <c r="T80" i="1"/>
  <c r="AC79" i="1"/>
  <c r="AB79" i="1"/>
  <c r="X79" i="1"/>
  <c r="U79" i="1"/>
  <c r="V79" i="1" s="1"/>
  <c r="W79" i="1" s="1"/>
  <c r="AD79" i="1"/>
  <c r="Y78" i="1"/>
  <c r="Z78" i="1" s="1"/>
  <c r="X164" i="1"/>
  <c r="U164" i="1"/>
  <c r="V164" i="1" s="1"/>
  <c r="W164" i="1" s="1"/>
  <c r="T165" i="1"/>
  <c r="AC164" i="1"/>
  <c r="AB164" i="1"/>
  <c r="AD164" i="1" s="1"/>
  <c r="AI80" i="1"/>
  <c r="AJ80" i="1" s="1"/>
  <c r="AK80" i="1" s="1"/>
  <c r="AH81" i="1"/>
  <c r="AQ80" i="1"/>
  <c r="AP80" i="1"/>
  <c r="AR80" i="1" s="1"/>
  <c r="AL80" i="1"/>
  <c r="AM80" i="1" s="1"/>
  <c r="AN80" i="1" s="1"/>
  <c r="I162" i="1"/>
  <c r="J162" i="1" s="1"/>
  <c r="K162" i="1" s="1"/>
  <c r="H163" i="1"/>
  <c r="Q162" i="1"/>
  <c r="P162" i="1"/>
  <c r="R162" i="1" s="1"/>
  <c r="L162" i="1"/>
  <c r="AM161" i="1"/>
  <c r="AN161" i="1" s="1"/>
  <c r="AI162" i="1"/>
  <c r="AJ162" i="1" s="1"/>
  <c r="AK162" i="1" s="1"/>
  <c r="AH163" i="1"/>
  <c r="AQ162" i="1"/>
  <c r="AP162" i="1"/>
  <c r="AR162" i="1" s="1"/>
  <c r="AL162" i="1"/>
  <c r="AM162" i="1" s="1"/>
  <c r="AN162" i="1" s="1"/>
  <c r="L78" i="1"/>
  <c r="M78" i="1" s="1"/>
  <c r="N78" i="1" s="1"/>
  <c r="I78" i="1"/>
  <c r="J78" i="1" s="1"/>
  <c r="K78" i="1" s="1"/>
  <c r="H79" i="1"/>
  <c r="Q78" i="1"/>
  <c r="O78" i="1"/>
  <c r="P78" i="1" s="1"/>
  <c r="R78" i="1" s="1"/>
  <c r="Y164" i="1" l="1"/>
  <c r="Z164" i="1" s="1"/>
  <c r="Y79" i="1"/>
  <c r="Z79" i="1" s="1"/>
  <c r="I163" i="1"/>
  <c r="J163" i="1" s="1"/>
  <c r="K163" i="1" s="1"/>
  <c r="H164" i="1"/>
  <c r="Q163" i="1"/>
  <c r="P163" i="1"/>
  <c r="R163" i="1" s="1"/>
  <c r="L163" i="1"/>
  <c r="M163" i="1" s="1"/>
  <c r="N163" i="1" s="1"/>
  <c r="AL81" i="1"/>
  <c r="AI81" i="1"/>
  <c r="AJ81" i="1" s="1"/>
  <c r="AK81" i="1" s="1"/>
  <c r="AR81" i="1"/>
  <c r="AQ81" i="1"/>
  <c r="AP81" i="1"/>
  <c r="AH82" i="1"/>
  <c r="M162" i="1"/>
  <c r="N162" i="1" s="1"/>
  <c r="T81" i="1"/>
  <c r="AC80" i="1"/>
  <c r="AB80" i="1"/>
  <c r="AD80" i="1" s="1"/>
  <c r="X80" i="1"/>
  <c r="U80" i="1"/>
  <c r="V80" i="1" s="1"/>
  <c r="W80" i="1" s="1"/>
  <c r="O79" i="1"/>
  <c r="P79" i="1" s="1"/>
  <c r="R79" i="1" s="1"/>
  <c r="L79" i="1"/>
  <c r="M79" i="1" s="1"/>
  <c r="N79" i="1" s="1"/>
  <c r="I79" i="1"/>
  <c r="J79" i="1" s="1"/>
  <c r="K79" i="1" s="1"/>
  <c r="H80" i="1"/>
  <c r="Q79" i="1"/>
  <c r="AL163" i="1"/>
  <c r="AI163" i="1"/>
  <c r="AJ163" i="1" s="1"/>
  <c r="AK163" i="1" s="1"/>
  <c r="AH164" i="1"/>
  <c r="AQ163" i="1"/>
  <c r="AP163" i="1"/>
  <c r="AR163" i="1" s="1"/>
  <c r="X165" i="1"/>
  <c r="U165" i="1"/>
  <c r="V165" i="1" s="1"/>
  <c r="W165" i="1" s="1"/>
  <c r="T166" i="1"/>
  <c r="AC165" i="1"/>
  <c r="AB165" i="1"/>
  <c r="AD165" i="1" s="1"/>
  <c r="AM81" i="1" l="1"/>
  <c r="AN81" i="1" s="1"/>
  <c r="AM163" i="1"/>
  <c r="AN163" i="1" s="1"/>
  <c r="T82" i="1"/>
  <c r="AC81" i="1"/>
  <c r="AB81" i="1"/>
  <c r="AD81" i="1" s="1"/>
  <c r="X81" i="1"/>
  <c r="U81" i="1"/>
  <c r="V81" i="1" s="1"/>
  <c r="W81" i="1" s="1"/>
  <c r="I164" i="1"/>
  <c r="J164" i="1" s="1"/>
  <c r="K164" i="1" s="1"/>
  <c r="H165" i="1"/>
  <c r="R164" i="1"/>
  <c r="Q164" i="1"/>
  <c r="P164" i="1"/>
  <c r="L164" i="1"/>
  <c r="Q80" i="1"/>
  <c r="O80" i="1"/>
  <c r="P80" i="1" s="1"/>
  <c r="R80" i="1" s="1"/>
  <c r="L80" i="1"/>
  <c r="I80" i="1"/>
  <c r="J80" i="1" s="1"/>
  <c r="K80" i="1" s="1"/>
  <c r="H81" i="1"/>
  <c r="AL164" i="1"/>
  <c r="AI164" i="1"/>
  <c r="AJ164" i="1" s="1"/>
  <c r="AK164" i="1" s="1"/>
  <c r="AH165" i="1"/>
  <c r="AQ164" i="1"/>
  <c r="AP164" i="1"/>
  <c r="AR164" i="1" s="1"/>
  <c r="AI82" i="1"/>
  <c r="AJ82" i="1" s="1"/>
  <c r="AK82" i="1" s="1"/>
  <c r="AQ82" i="1"/>
  <c r="AP82" i="1"/>
  <c r="AR82" i="1" s="1"/>
  <c r="AH83" i="1"/>
  <c r="AL82" i="1"/>
  <c r="AM82" i="1" s="1"/>
  <c r="AN82" i="1" s="1"/>
  <c r="Y165" i="1"/>
  <c r="Z165" i="1" s="1"/>
  <c r="Y80" i="1"/>
  <c r="Z80" i="1" s="1"/>
  <c r="X166" i="1"/>
  <c r="Y166" i="1" s="1"/>
  <c r="Z166" i="1" s="1"/>
  <c r="U166" i="1"/>
  <c r="V166" i="1" s="1"/>
  <c r="W166" i="1" s="1"/>
  <c r="T167" i="1"/>
  <c r="AC166" i="1"/>
  <c r="AB166" i="1"/>
  <c r="AD166" i="1" s="1"/>
  <c r="Y81" i="1" l="1"/>
  <c r="Z81" i="1" s="1"/>
  <c r="AL165" i="1"/>
  <c r="AI165" i="1"/>
  <c r="AJ165" i="1" s="1"/>
  <c r="AK165" i="1" s="1"/>
  <c r="AH166" i="1"/>
  <c r="AQ165" i="1"/>
  <c r="AP165" i="1"/>
  <c r="AR165" i="1" s="1"/>
  <c r="L165" i="1"/>
  <c r="I165" i="1"/>
  <c r="J165" i="1" s="1"/>
  <c r="K165" i="1" s="1"/>
  <c r="H166" i="1"/>
  <c r="R165" i="1"/>
  <c r="Q165" i="1"/>
  <c r="P165" i="1"/>
  <c r="H82" i="1"/>
  <c r="Q81" i="1"/>
  <c r="O81" i="1"/>
  <c r="P81" i="1" s="1"/>
  <c r="R81" i="1" s="1"/>
  <c r="L81" i="1"/>
  <c r="I81" i="1"/>
  <c r="J81" i="1" s="1"/>
  <c r="K81" i="1" s="1"/>
  <c r="X82" i="1"/>
  <c r="T83" i="1"/>
  <c r="U82" i="1"/>
  <c r="AD82" i="1"/>
  <c r="AC82" i="1"/>
  <c r="AB82" i="1"/>
  <c r="AM164" i="1"/>
  <c r="AN164" i="1" s="1"/>
  <c r="AQ83" i="1"/>
  <c r="AI83" i="1"/>
  <c r="AJ83" i="1" s="1"/>
  <c r="AH84" i="1"/>
  <c r="U167" i="1"/>
  <c r="V167" i="1" s="1"/>
  <c r="W167" i="1" s="1"/>
  <c r="AC167" i="1"/>
  <c r="M164" i="1"/>
  <c r="N164" i="1" s="1"/>
  <c r="M80" i="1"/>
  <c r="N80" i="1" s="1"/>
  <c r="U83" i="1" l="1"/>
  <c r="X83" i="1"/>
  <c r="AC83" i="1"/>
  <c r="AB83" i="1"/>
  <c r="AD83" i="1" s="1"/>
  <c r="V82" i="1"/>
  <c r="W82" i="1" s="1"/>
  <c r="Y82" i="1" s="1"/>
  <c r="Z82" i="1" s="1"/>
  <c r="AK83" i="1"/>
  <c r="M165" i="1"/>
  <c r="N165" i="1" s="1"/>
  <c r="AI166" i="1"/>
  <c r="AJ166" i="1" s="1"/>
  <c r="AK166" i="1" s="1"/>
  <c r="AQ166" i="1"/>
  <c r="B43" i="1" s="1"/>
  <c r="X167" i="1"/>
  <c r="Y167" i="1" s="1"/>
  <c r="Z167" i="1" s="1"/>
  <c r="AB167" i="1" s="1"/>
  <c r="AD167" i="1"/>
  <c r="AI84" i="1"/>
  <c r="AJ84" i="1" s="1"/>
  <c r="AQ84" i="1"/>
  <c r="H83" i="1"/>
  <c r="I82" i="1"/>
  <c r="J82" i="1" s="1"/>
  <c r="K82" i="1" s="1"/>
  <c r="Q82" i="1"/>
  <c r="O82" i="1"/>
  <c r="P82" i="1" s="1"/>
  <c r="R82" i="1" s="1"/>
  <c r="L82" i="1"/>
  <c r="M82" i="1" s="1"/>
  <c r="N82" i="1" s="1"/>
  <c r="L166" i="1"/>
  <c r="I166" i="1"/>
  <c r="J166" i="1" s="1"/>
  <c r="K166" i="1" s="1"/>
  <c r="H167" i="1"/>
  <c r="Q166" i="1"/>
  <c r="P166" i="1"/>
  <c r="R166" i="1" s="1"/>
  <c r="AM165" i="1"/>
  <c r="AN165" i="1" s="1"/>
  <c r="M81" i="1"/>
  <c r="N81" i="1" s="1"/>
  <c r="M166" i="1" l="1"/>
  <c r="N166" i="1" s="1"/>
  <c r="AL166" i="1"/>
  <c r="AM166" i="1" s="1"/>
  <c r="AN166" i="1" s="1"/>
  <c r="AP166" i="1" s="1"/>
  <c r="AR166" i="1"/>
  <c r="L83" i="1"/>
  <c r="Q83" i="1"/>
  <c r="O83" i="1"/>
  <c r="P83" i="1" s="1"/>
  <c r="R83" i="1" s="1"/>
  <c r="I83" i="1"/>
  <c r="J83" i="1" s="1"/>
  <c r="K83" i="1" s="1"/>
  <c r="AK84" i="1"/>
  <c r="V83" i="1"/>
  <c r="W83" i="1" s="1"/>
  <c r="Y83" i="1" s="1"/>
  <c r="Z83" i="1" s="1"/>
  <c r="AL83" i="1"/>
  <c r="AM83" i="1" s="1"/>
  <c r="AN83" i="1" s="1"/>
  <c r="AO83" i="1"/>
  <c r="AP83" i="1" s="1"/>
  <c r="AR83" i="1"/>
  <c r="L167" i="1"/>
  <c r="I167" i="1"/>
  <c r="J167" i="1" s="1"/>
  <c r="K167" i="1" s="1"/>
  <c r="R167" i="1" s="1"/>
  <c r="Q167" i="1"/>
  <c r="M167" i="1" l="1"/>
  <c r="N167" i="1" s="1"/>
  <c r="P167" i="1" s="1"/>
  <c r="M83" i="1"/>
  <c r="N83" i="1" s="1"/>
  <c r="AR84" i="1"/>
  <c r="AO84" i="1"/>
  <c r="AL84" i="1"/>
  <c r="AM84" i="1" s="1"/>
  <c r="AN84" i="1" s="1"/>
  <c r="AP84" i="1" l="1"/>
</calcChain>
</file>

<file path=xl/sharedStrings.xml><?xml version="1.0" encoding="utf-8"?>
<sst xmlns="http://schemas.openxmlformats.org/spreadsheetml/2006/main" count="166" uniqueCount="64">
  <si>
    <t>BASE INPUTS</t>
  </si>
  <si>
    <t>Mass 1000 kg Cd0 0.017 HP Engine 670 Density ratio 0.8761</t>
  </si>
  <si>
    <t>[22:49]</t>
  </si>
  <si>
    <t xml:space="preserve">Mass </t>
  </si>
  <si>
    <t>Load factors</t>
  </si>
  <si>
    <t>S 8.1 b 8.06 e 0.83</t>
  </si>
  <si>
    <t>S_wing</t>
  </si>
  <si>
    <t xml:space="preserve">n = 1g </t>
  </si>
  <si>
    <t>[22:50]</t>
  </si>
  <si>
    <t>Cdo</t>
  </si>
  <si>
    <t>n =1.5 g</t>
  </si>
  <si>
    <t>Cl max 1.66</t>
  </si>
  <si>
    <t>LOAD FACTOR  : 1 G</t>
  </si>
  <si>
    <t>LOAD FACTOR  : 1.5 G</t>
  </si>
  <si>
    <t>LOAD FACTOR  : 2 G</t>
  </si>
  <si>
    <t>HP Engine</t>
  </si>
  <si>
    <t>n =2 g</t>
  </si>
  <si>
    <t>Cl max</t>
  </si>
  <si>
    <t>n = 3 g</t>
  </si>
  <si>
    <t>Velocity [m/s]</t>
  </si>
  <si>
    <t>CL</t>
  </si>
  <si>
    <t>Cd</t>
  </si>
  <si>
    <t>D [kg]</t>
  </si>
  <si>
    <t>T [kg]</t>
  </si>
  <si>
    <t>SEP [m/s]</t>
  </si>
  <si>
    <t>SEP [ft/min]</t>
  </si>
  <si>
    <t>Radius [m]</t>
  </si>
  <si>
    <t>Load factor -Constant radius</t>
  </si>
  <si>
    <t>Omega [rad/s] - Constant Load factor</t>
  </si>
  <si>
    <t>Omega [rad/s] - Constant Radius</t>
  </si>
  <si>
    <t>Omega [deg/s] - Constant Load factor</t>
  </si>
  <si>
    <t>Omega [deg/s] - Constant Radius</t>
  </si>
  <si>
    <t>g</t>
  </si>
  <si>
    <t xml:space="preserve">n = 4 g </t>
  </si>
  <si>
    <t>Density ratio</t>
  </si>
  <si>
    <t>n = 5 g</t>
  </si>
  <si>
    <t>Rho SL</t>
  </si>
  <si>
    <t>b</t>
  </si>
  <si>
    <t xml:space="preserve">How to use </t>
  </si>
  <si>
    <t xml:space="preserve">e </t>
  </si>
  <si>
    <t>AR</t>
  </si>
  <si>
    <t>Increment Value</t>
  </si>
  <si>
    <t xml:space="preserve">Efficiency </t>
  </si>
  <si>
    <t>m/s to ft/min</t>
  </si>
  <si>
    <t>STALL LINE</t>
  </si>
  <si>
    <t>Velocity</t>
  </si>
  <si>
    <t>Load factor</t>
  </si>
  <si>
    <t>Omega</t>
  </si>
  <si>
    <t>CLOSING LINE</t>
  </si>
  <si>
    <t>SEP LINES</t>
  </si>
  <si>
    <t>SEP = 2000 ft/min</t>
  </si>
  <si>
    <t>Omega [deg/s]</t>
  </si>
  <si>
    <t>Refined</t>
  </si>
  <si>
    <t>Factors</t>
  </si>
  <si>
    <t>a</t>
  </si>
  <si>
    <t>c</t>
  </si>
  <si>
    <t>SEP = 1000 ft/min</t>
  </si>
  <si>
    <t>LOAD FACTOR  : 5 G</t>
  </si>
  <si>
    <t>LOAD FACTOR  : 3 G</t>
  </si>
  <si>
    <t>LOAD FACTOR  : 4 G</t>
  </si>
  <si>
    <t>SEP = 300 ft/min</t>
  </si>
  <si>
    <t>SEP =0 ft/min UMODED</t>
  </si>
  <si>
    <t>SEP =0 ft/min MODED</t>
  </si>
  <si>
    <t>SEP = -300 ft/min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</si>
</sst>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Inherit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0" xfId="0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4" borderId="8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0" xfId="0" applyFill="1"/>
    <xf numFmtId="0" fontId="0" fillId="0" borderId="5" xfId="0" applyBorder="1"/>
    <xf numFmtId="0" fontId="3" fillId="6" borderId="1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4" borderId="0" xfId="0" applyFill="1"/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3463342082239721"/>
          <c:y val="3.7752032651049344E-2"/>
          <c:w val="0.80953412073490816"/>
          <c:h val="0.79369822844958027"/>
        </c:manualLayout>
      </c:layout>
      <c:scatterChart>
        <c:scatterStyle val="smoothMarker"/>
        <c:varyColors val="0"/>
        <c:ser>
          <c:idx val="0"/>
          <c:order val="0"/>
          <c:tx>
            <c:v>Stall Line</c:v>
          </c:tx>
          <c:spPr>
            <a:ln w="19050" cap="rnd">
              <a:solidFill>
                <a:sysClr val="windowText" lastClr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'EM-Chart'!$A$19:$A$39</c:f>
              <c:numCache>
                <c:formatCode>General</c:formatCode>
                <c:ptCount val="21"/>
                <c:pt idx="0">
                  <c:v>36.872965202666379</c:v>
                </c:pt>
                <c:pt idx="1">
                  <c:v>40.392309607206847</c:v>
                </c:pt>
                <c:pt idx="2">
                  <c:v>43.628680795686037</c:v>
                </c:pt>
                <c:pt idx="3">
                  <c:v>46.641021649823159</c:v>
                </c:pt>
                <c:pt idx="4">
                  <c:v>49.470274035087797</c:v>
                </c:pt>
                <c:pt idx="5">
                  <c:v>52.146247474521985</c:v>
                </c:pt>
                <c:pt idx="6">
                  <c:v>54.691445750149079</c:v>
                </c:pt>
                <c:pt idx="7">
                  <c:v>57.12335206208499</c:v>
                </c:pt>
                <c:pt idx="8">
                  <c:v>59.455869881587958</c:v>
                </c:pt>
                <c:pt idx="9">
                  <c:v>61.700272089705791</c:v>
                </c:pt>
                <c:pt idx="10">
                  <c:v>63.865849156737411</c:v>
                </c:pt>
                <c:pt idx="11">
                  <c:v>65.960365380117068</c:v>
                </c:pt>
                <c:pt idx="12">
                  <c:v>67.990388391639272</c:v>
                </c:pt>
                <c:pt idx="13">
                  <c:v>69.961532474734739</c:v>
                </c:pt>
                <c:pt idx="14">
                  <c:v>71.878641742737287</c:v>
                </c:pt>
                <c:pt idx="15">
                  <c:v>73.745930405332757</c:v>
                </c:pt>
                <c:pt idx="16">
                  <c:v>75.56709180533278</c:v>
                </c:pt>
                <c:pt idx="17">
                  <c:v>77.345384325653214</c:v>
                </c:pt>
                <c:pt idx="18">
                  <c:v>79.083699894797604</c:v>
                </c:pt>
                <c:pt idx="19">
                  <c:v>80.784619214413709</c:v>
                </c:pt>
                <c:pt idx="20">
                  <c:v>82.450456725146338</c:v>
                </c:pt>
              </c:numCache>
            </c:numRef>
          </c:xVal>
          <c:yVal>
            <c:numRef>
              <c:f>'EM-Chart'!$C$19:$C$39</c:f>
              <c:numCache>
                <c:formatCode>General</c:formatCode>
                <c:ptCount val="21"/>
                <c:pt idx="0">
                  <c:v>0</c:v>
                </c:pt>
                <c:pt idx="1">
                  <c:v>9.2303738546787262</c:v>
                </c:pt>
                <c:pt idx="2">
                  <c:v>12.622784705005893</c:v>
                </c:pt>
                <c:pt idx="3">
                  <c:v>15.051711451439198</c:v>
                </c:pt>
                <c:pt idx="4">
                  <c:v>17.004792343834964</c:v>
                </c:pt>
                <c:pt idx="5">
                  <c:v>18.669350349926106</c:v>
                </c:pt>
                <c:pt idx="6">
                  <c:v>20.138997501117217</c:v>
                </c:pt>
                <c:pt idx="7">
                  <c:v>21.467498031547869</c:v>
                </c:pt>
                <c:pt idx="8">
                  <c:v>22.68862326869688</c:v>
                </c:pt>
                <c:pt idx="9">
                  <c:v>23.824983658715617</c:v>
                </c:pt>
                <c:pt idx="10">
                  <c:v>24.892467133234813</c:v>
                </c:pt>
                <c:pt idx="11">
                  <c:v>25.902672387032787</c:v>
                </c:pt>
                <c:pt idx="12">
                  <c:v>26.864333905962372</c:v>
                </c:pt>
                <c:pt idx="13">
                  <c:v>27.784201226729365</c:v>
                </c:pt>
                <c:pt idx="14">
                  <c:v>28.667605028631939</c:v>
                </c:pt>
                <c:pt idx="15">
                  <c:v>29.51883477071403</c:v>
                </c:pt>
                <c:pt idx="16">
                  <c:v>30.341398328694233</c:v>
                </c:pt>
                <c:pt idx="17">
                  <c:v>31.13820520918366</c:v>
                </c:pt>
                <c:pt idx="18">
                  <c:v>31.911698805632831</c:v>
                </c:pt>
                <c:pt idx="19">
                  <c:v>32.663953799856245</c:v>
                </c:pt>
                <c:pt idx="20">
                  <c:v>33.396749182555425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33-4BB8-B11E-3D9EEE6E2677}"/>
            </c:ext>
          </c:extLst>
        </c:ser>
        <c:ser>
          <c:idx val="1"/>
          <c:order val="1"/>
          <c:tx>
            <c:v>1-G Constant Load Factor</c:v>
          </c:tx>
          <c:spPr>
            <a:ln w="19050" cap="rnd">
              <a:solidFill>
                <a:sysClr val="windowText" lastClr="0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'EM-Chart'!$H$8:$H$83</c:f>
              <c:numCache>
                <c:formatCode>General</c:formatCode>
                <c:ptCount val="76"/>
                <c:pt idx="0">
                  <c:v>50</c:v>
                </c:pt>
                <c:pt idx="1">
                  <c:v>52</c:v>
                </c:pt>
                <c:pt idx="2">
                  <c:v>54</c:v>
                </c:pt>
                <c:pt idx="3">
                  <c:v>56</c:v>
                </c:pt>
                <c:pt idx="4">
                  <c:v>58</c:v>
                </c:pt>
                <c:pt idx="5">
                  <c:v>60</c:v>
                </c:pt>
                <c:pt idx="6">
                  <c:v>62</c:v>
                </c:pt>
                <c:pt idx="7">
                  <c:v>64</c:v>
                </c:pt>
                <c:pt idx="8">
                  <c:v>66</c:v>
                </c:pt>
                <c:pt idx="9">
                  <c:v>68</c:v>
                </c:pt>
                <c:pt idx="10">
                  <c:v>70</c:v>
                </c:pt>
                <c:pt idx="11">
                  <c:v>72</c:v>
                </c:pt>
                <c:pt idx="12">
                  <c:v>74</c:v>
                </c:pt>
                <c:pt idx="13">
                  <c:v>76</c:v>
                </c:pt>
                <c:pt idx="14">
                  <c:v>78</c:v>
                </c:pt>
                <c:pt idx="15">
                  <c:v>80</c:v>
                </c:pt>
                <c:pt idx="16">
                  <c:v>82</c:v>
                </c:pt>
                <c:pt idx="17">
                  <c:v>84</c:v>
                </c:pt>
                <c:pt idx="18">
                  <c:v>86</c:v>
                </c:pt>
                <c:pt idx="19">
                  <c:v>88</c:v>
                </c:pt>
                <c:pt idx="20">
                  <c:v>90</c:v>
                </c:pt>
                <c:pt idx="21">
                  <c:v>92</c:v>
                </c:pt>
                <c:pt idx="22">
                  <c:v>94</c:v>
                </c:pt>
                <c:pt idx="23">
                  <c:v>96</c:v>
                </c:pt>
                <c:pt idx="24">
                  <c:v>98</c:v>
                </c:pt>
                <c:pt idx="25">
                  <c:v>100</c:v>
                </c:pt>
                <c:pt idx="26">
                  <c:v>102</c:v>
                </c:pt>
                <c:pt idx="27">
                  <c:v>104</c:v>
                </c:pt>
                <c:pt idx="28">
                  <c:v>106</c:v>
                </c:pt>
                <c:pt idx="29">
                  <c:v>108</c:v>
                </c:pt>
                <c:pt idx="30">
                  <c:v>110</c:v>
                </c:pt>
                <c:pt idx="31">
                  <c:v>112</c:v>
                </c:pt>
                <c:pt idx="32">
                  <c:v>114</c:v>
                </c:pt>
                <c:pt idx="33">
                  <c:v>116</c:v>
                </c:pt>
                <c:pt idx="34">
                  <c:v>118</c:v>
                </c:pt>
                <c:pt idx="35">
                  <c:v>120</c:v>
                </c:pt>
                <c:pt idx="36">
                  <c:v>122</c:v>
                </c:pt>
                <c:pt idx="37">
                  <c:v>124</c:v>
                </c:pt>
                <c:pt idx="38">
                  <c:v>126</c:v>
                </c:pt>
                <c:pt idx="39">
                  <c:v>128</c:v>
                </c:pt>
                <c:pt idx="40">
                  <c:v>130</c:v>
                </c:pt>
                <c:pt idx="41">
                  <c:v>132</c:v>
                </c:pt>
                <c:pt idx="42">
                  <c:v>134</c:v>
                </c:pt>
                <c:pt idx="43">
                  <c:v>136</c:v>
                </c:pt>
                <c:pt idx="44">
                  <c:v>138</c:v>
                </c:pt>
                <c:pt idx="45">
                  <c:v>140</c:v>
                </c:pt>
                <c:pt idx="46">
                  <c:v>142</c:v>
                </c:pt>
                <c:pt idx="47">
                  <c:v>144</c:v>
                </c:pt>
                <c:pt idx="48">
                  <c:v>146</c:v>
                </c:pt>
                <c:pt idx="49">
                  <c:v>148</c:v>
                </c:pt>
                <c:pt idx="50">
                  <c:v>150</c:v>
                </c:pt>
                <c:pt idx="51">
                  <c:v>152</c:v>
                </c:pt>
                <c:pt idx="52">
                  <c:v>154</c:v>
                </c:pt>
                <c:pt idx="53">
                  <c:v>156</c:v>
                </c:pt>
                <c:pt idx="54">
                  <c:v>158</c:v>
                </c:pt>
                <c:pt idx="55">
                  <c:v>160</c:v>
                </c:pt>
                <c:pt idx="56">
                  <c:v>162</c:v>
                </c:pt>
                <c:pt idx="57">
                  <c:v>164</c:v>
                </c:pt>
                <c:pt idx="58">
                  <c:v>166</c:v>
                </c:pt>
                <c:pt idx="59">
                  <c:v>168</c:v>
                </c:pt>
                <c:pt idx="60">
                  <c:v>170</c:v>
                </c:pt>
                <c:pt idx="61">
                  <c:v>172</c:v>
                </c:pt>
                <c:pt idx="62">
                  <c:v>174</c:v>
                </c:pt>
                <c:pt idx="63">
                  <c:v>176</c:v>
                </c:pt>
                <c:pt idx="64">
                  <c:v>178</c:v>
                </c:pt>
                <c:pt idx="65">
                  <c:v>180</c:v>
                </c:pt>
                <c:pt idx="66">
                  <c:v>182</c:v>
                </c:pt>
                <c:pt idx="67">
                  <c:v>184</c:v>
                </c:pt>
                <c:pt idx="68">
                  <c:v>186</c:v>
                </c:pt>
                <c:pt idx="69">
                  <c:v>188</c:v>
                </c:pt>
                <c:pt idx="70">
                  <c:v>190</c:v>
                </c:pt>
                <c:pt idx="71">
                  <c:v>192</c:v>
                </c:pt>
                <c:pt idx="72">
                  <c:v>194</c:v>
                </c:pt>
                <c:pt idx="73">
                  <c:v>196</c:v>
                </c:pt>
                <c:pt idx="74">
                  <c:v>198</c:v>
                </c:pt>
                <c:pt idx="75">
                  <c:v>200</c:v>
                </c:pt>
              </c:numCache>
            </c:numRef>
          </c:xVal>
          <c:yVal>
            <c:numRef>
              <c:f>'EM-Chart'!$Q$8:$Q$83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33-4BB8-B11E-3D9EEE6E2677}"/>
            </c:ext>
          </c:extLst>
        </c:ser>
        <c:ser>
          <c:idx val="2"/>
          <c:order val="2"/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'EM-Chart'!$T$16:$T$83</c:f>
              <c:numCache>
                <c:formatCode>General</c:formatCode>
                <c:ptCount val="68"/>
                <c:pt idx="0">
                  <c:v>46</c:v>
                </c:pt>
                <c:pt idx="1">
                  <c:v>48</c:v>
                </c:pt>
                <c:pt idx="2">
                  <c:v>50</c:v>
                </c:pt>
                <c:pt idx="3">
                  <c:v>52</c:v>
                </c:pt>
                <c:pt idx="4">
                  <c:v>54</c:v>
                </c:pt>
                <c:pt idx="5">
                  <c:v>56</c:v>
                </c:pt>
                <c:pt idx="6">
                  <c:v>58</c:v>
                </c:pt>
                <c:pt idx="7">
                  <c:v>60</c:v>
                </c:pt>
                <c:pt idx="8">
                  <c:v>62</c:v>
                </c:pt>
                <c:pt idx="9">
                  <c:v>64</c:v>
                </c:pt>
                <c:pt idx="10">
                  <c:v>66</c:v>
                </c:pt>
                <c:pt idx="11">
                  <c:v>68</c:v>
                </c:pt>
                <c:pt idx="12">
                  <c:v>70</c:v>
                </c:pt>
                <c:pt idx="13">
                  <c:v>72</c:v>
                </c:pt>
                <c:pt idx="14">
                  <c:v>74</c:v>
                </c:pt>
                <c:pt idx="15">
                  <c:v>76</c:v>
                </c:pt>
                <c:pt idx="16">
                  <c:v>78</c:v>
                </c:pt>
                <c:pt idx="17">
                  <c:v>80</c:v>
                </c:pt>
                <c:pt idx="18">
                  <c:v>82</c:v>
                </c:pt>
                <c:pt idx="19">
                  <c:v>84</c:v>
                </c:pt>
                <c:pt idx="20">
                  <c:v>86</c:v>
                </c:pt>
                <c:pt idx="21">
                  <c:v>88</c:v>
                </c:pt>
                <c:pt idx="22">
                  <c:v>90</c:v>
                </c:pt>
                <c:pt idx="23">
                  <c:v>92</c:v>
                </c:pt>
                <c:pt idx="24">
                  <c:v>94</c:v>
                </c:pt>
                <c:pt idx="25">
                  <c:v>96</c:v>
                </c:pt>
                <c:pt idx="26">
                  <c:v>98</c:v>
                </c:pt>
                <c:pt idx="27">
                  <c:v>100</c:v>
                </c:pt>
                <c:pt idx="28">
                  <c:v>102</c:v>
                </c:pt>
                <c:pt idx="29">
                  <c:v>104</c:v>
                </c:pt>
                <c:pt idx="30">
                  <c:v>106</c:v>
                </c:pt>
                <c:pt idx="31">
                  <c:v>108</c:v>
                </c:pt>
                <c:pt idx="32">
                  <c:v>110</c:v>
                </c:pt>
                <c:pt idx="33">
                  <c:v>112</c:v>
                </c:pt>
                <c:pt idx="34">
                  <c:v>114</c:v>
                </c:pt>
                <c:pt idx="35">
                  <c:v>116</c:v>
                </c:pt>
                <c:pt idx="36">
                  <c:v>118</c:v>
                </c:pt>
                <c:pt idx="37">
                  <c:v>120</c:v>
                </c:pt>
                <c:pt idx="38">
                  <c:v>122</c:v>
                </c:pt>
                <c:pt idx="39">
                  <c:v>124</c:v>
                </c:pt>
                <c:pt idx="40">
                  <c:v>126</c:v>
                </c:pt>
                <c:pt idx="41">
                  <c:v>128</c:v>
                </c:pt>
                <c:pt idx="42">
                  <c:v>130</c:v>
                </c:pt>
                <c:pt idx="43">
                  <c:v>132</c:v>
                </c:pt>
                <c:pt idx="44">
                  <c:v>134</c:v>
                </c:pt>
                <c:pt idx="45">
                  <c:v>136</c:v>
                </c:pt>
                <c:pt idx="46">
                  <c:v>138</c:v>
                </c:pt>
                <c:pt idx="47">
                  <c:v>140</c:v>
                </c:pt>
                <c:pt idx="48">
                  <c:v>142</c:v>
                </c:pt>
                <c:pt idx="49">
                  <c:v>144</c:v>
                </c:pt>
                <c:pt idx="50">
                  <c:v>146</c:v>
                </c:pt>
                <c:pt idx="51">
                  <c:v>148</c:v>
                </c:pt>
                <c:pt idx="52">
                  <c:v>150</c:v>
                </c:pt>
                <c:pt idx="53">
                  <c:v>152</c:v>
                </c:pt>
                <c:pt idx="54">
                  <c:v>154</c:v>
                </c:pt>
                <c:pt idx="55">
                  <c:v>156</c:v>
                </c:pt>
                <c:pt idx="56">
                  <c:v>158</c:v>
                </c:pt>
                <c:pt idx="57">
                  <c:v>160</c:v>
                </c:pt>
                <c:pt idx="58">
                  <c:v>162</c:v>
                </c:pt>
                <c:pt idx="59">
                  <c:v>164</c:v>
                </c:pt>
                <c:pt idx="60">
                  <c:v>166</c:v>
                </c:pt>
                <c:pt idx="61">
                  <c:v>168</c:v>
                </c:pt>
                <c:pt idx="62">
                  <c:v>170</c:v>
                </c:pt>
                <c:pt idx="63">
                  <c:v>172</c:v>
                </c:pt>
                <c:pt idx="64">
                  <c:v>174</c:v>
                </c:pt>
                <c:pt idx="65">
                  <c:v>176</c:v>
                </c:pt>
                <c:pt idx="66">
                  <c:v>178</c:v>
                </c:pt>
                <c:pt idx="67">
                  <c:v>180</c:v>
                </c:pt>
              </c:numCache>
            </c:numRef>
          </c:xVal>
          <c:yVal>
            <c:numRef>
              <c:f>'EM-Chart'!$AC$15:$AC$83</c:f>
              <c:numCache>
                <c:formatCode>General</c:formatCode>
                <c:ptCount val="69"/>
                <c:pt idx="0">
                  <c:v>14.282162490523314</c:v>
                </c:pt>
                <c:pt idx="1">
                  <c:v>13.661198903978821</c:v>
                </c:pt>
                <c:pt idx="2">
                  <c:v>13.091982282979703</c:v>
                </c:pt>
                <c:pt idx="3">
                  <c:v>12.568302991660515</c:v>
                </c:pt>
                <c:pt idx="4">
                  <c:v>12.084906722750494</c:v>
                </c:pt>
                <c:pt idx="5">
                  <c:v>11.637317584870846</c:v>
                </c:pt>
                <c:pt idx="6">
                  <c:v>11.221699099696888</c:v>
                </c:pt>
                <c:pt idx="7">
                  <c:v>10.834743958328028</c:v>
                </c:pt>
                <c:pt idx="8">
                  <c:v>10.473585826383763</c:v>
                </c:pt>
                <c:pt idx="9">
                  <c:v>10.135728219081059</c:v>
                </c:pt>
                <c:pt idx="10">
                  <c:v>9.8189867122347767</c:v>
                </c:pt>
                <c:pt idx="11">
                  <c:v>9.5214416603488736</c:v>
                </c:pt>
                <c:pt idx="12">
                  <c:v>9.2413992585739066</c:v>
                </c:pt>
                <c:pt idx="13">
                  <c:v>8.9773592797575095</c:v>
                </c:pt>
                <c:pt idx="14">
                  <c:v>8.7279881886531356</c:v>
                </c:pt>
                <c:pt idx="15">
                  <c:v>8.4920966159868332</c:v>
                </c:pt>
                <c:pt idx="16">
                  <c:v>8.2686203892503389</c:v>
                </c:pt>
                <c:pt idx="17">
                  <c:v>8.0566044818336628</c:v>
                </c:pt>
                <c:pt idx="18">
                  <c:v>7.855189369787821</c:v>
                </c:pt>
                <c:pt idx="19">
                  <c:v>7.6635993851588511</c:v>
                </c:pt>
                <c:pt idx="20">
                  <c:v>7.4811327331312585</c:v>
                </c:pt>
                <c:pt idx="21">
                  <c:v>7.3071529021282071</c:v>
                </c:pt>
                <c:pt idx="22">
                  <c:v>7.141081245261657</c:v>
                </c:pt>
                <c:pt idx="23">
                  <c:v>6.9823905509225082</c:v>
                </c:pt>
                <c:pt idx="24">
                  <c:v>6.8305994519894107</c:v>
                </c:pt>
                <c:pt idx="25">
                  <c:v>6.6852675487555926</c:v>
                </c:pt>
                <c:pt idx="26">
                  <c:v>6.5459911414898517</c:v>
                </c:pt>
                <c:pt idx="27">
                  <c:v>6.41239948554108</c:v>
                </c:pt>
                <c:pt idx="28">
                  <c:v>6.2841514958302573</c:v>
                </c:pt>
                <c:pt idx="29">
                  <c:v>6.1609328390492717</c:v>
                </c:pt>
                <c:pt idx="30">
                  <c:v>6.0424533613752471</c:v>
                </c:pt>
                <c:pt idx="31">
                  <c:v>5.9284448073870353</c:v>
                </c:pt>
                <c:pt idx="32">
                  <c:v>5.8186587924354232</c:v>
                </c:pt>
                <c:pt idx="33">
                  <c:v>5.7128649962093245</c:v>
                </c:pt>
                <c:pt idx="34">
                  <c:v>5.6108495498484441</c:v>
                </c:pt>
                <c:pt idx="35">
                  <c:v>5.5124135928335596</c:v>
                </c:pt>
                <c:pt idx="36">
                  <c:v>5.417371979164014</c:v>
                </c:pt>
                <c:pt idx="37">
                  <c:v>5.325552115110388</c:v>
                </c:pt>
                <c:pt idx="38">
                  <c:v>5.2367929131918816</c:v>
                </c:pt>
                <c:pt idx="39">
                  <c:v>5.1509438490411945</c:v>
                </c:pt>
                <c:pt idx="40">
                  <c:v>5.0678641095405297</c:v>
                </c:pt>
                <c:pt idx="41">
                  <c:v>4.987421822087506</c:v>
                </c:pt>
                <c:pt idx="42">
                  <c:v>4.9094933561173884</c:v>
                </c:pt>
                <c:pt idx="43">
                  <c:v>4.8339626891001988</c:v>
                </c:pt>
                <c:pt idx="44">
                  <c:v>4.7607208301744368</c:v>
                </c:pt>
                <c:pt idx="45">
                  <c:v>4.6896652953957148</c:v>
                </c:pt>
                <c:pt idx="46">
                  <c:v>4.6206996292869533</c:v>
                </c:pt>
                <c:pt idx="47">
                  <c:v>4.5537329679929401</c:v>
                </c:pt>
                <c:pt idx="48">
                  <c:v>4.4886796398787547</c:v>
                </c:pt>
                <c:pt idx="49">
                  <c:v>4.4254587998804631</c:v>
                </c:pt>
                <c:pt idx="50">
                  <c:v>4.3639940943265678</c:v>
                </c:pt>
                <c:pt idx="51">
                  <c:v>4.3042133533083957</c:v>
                </c:pt>
                <c:pt idx="52">
                  <c:v>4.2460483079934166</c:v>
                </c:pt>
                <c:pt idx="53">
                  <c:v>4.1894343305535049</c:v>
                </c:pt>
                <c:pt idx="54">
                  <c:v>4.1343101946251695</c:v>
                </c:pt>
                <c:pt idx="55">
                  <c:v>4.0806178544352321</c:v>
                </c:pt>
                <c:pt idx="56">
                  <c:v>4.0283022409168314</c:v>
                </c:pt>
                <c:pt idx="57">
                  <c:v>3.9773110733102892</c:v>
                </c:pt>
                <c:pt idx="58">
                  <c:v>3.9275946848939105</c:v>
                </c:pt>
                <c:pt idx="59">
                  <c:v>3.879105861623616</c:v>
                </c:pt>
                <c:pt idx="60">
                  <c:v>3.8317996925794255</c:v>
                </c:pt>
                <c:pt idx="61">
                  <c:v>3.785633431223046</c:v>
                </c:pt>
                <c:pt idx="62">
                  <c:v>3.7405663665656292</c:v>
                </c:pt>
                <c:pt idx="63">
                  <c:v>3.6965597034295627</c:v>
                </c:pt>
                <c:pt idx="64">
                  <c:v>3.6535764510641036</c:v>
                </c:pt>
                <c:pt idx="65">
                  <c:v>3.6115813194426769</c:v>
                </c:pt>
                <c:pt idx="66">
                  <c:v>3.5705406226308285</c:v>
                </c:pt>
                <c:pt idx="67">
                  <c:v>3.5304221886686835</c:v>
                </c:pt>
                <c:pt idx="68">
                  <c:v>3.4911952754612541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33-4BB8-B11E-3D9EEE6E2677}"/>
            </c:ext>
          </c:extLst>
        </c:ser>
        <c:ser>
          <c:idx val="3"/>
          <c:order val="3"/>
          <c:spPr>
            <a:ln w="19050" cap="rnd" cmpd="sng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'EM-Chart'!$T$12:$T$83</c:f>
              <c:numCache>
                <c:formatCode>General</c:formatCode>
                <c:ptCount val="72"/>
                <c:pt idx="0">
                  <c:v>38</c:v>
                </c:pt>
                <c:pt idx="1">
                  <c:v>40</c:v>
                </c:pt>
                <c:pt idx="2">
                  <c:v>42</c:v>
                </c:pt>
                <c:pt idx="3">
                  <c:v>44</c:v>
                </c:pt>
                <c:pt idx="4">
                  <c:v>46</c:v>
                </c:pt>
                <c:pt idx="5">
                  <c:v>48</c:v>
                </c:pt>
                <c:pt idx="6">
                  <c:v>50</c:v>
                </c:pt>
                <c:pt idx="7">
                  <c:v>52</c:v>
                </c:pt>
                <c:pt idx="8">
                  <c:v>54</c:v>
                </c:pt>
                <c:pt idx="9">
                  <c:v>56</c:v>
                </c:pt>
                <c:pt idx="10">
                  <c:v>58</c:v>
                </c:pt>
                <c:pt idx="11">
                  <c:v>60</c:v>
                </c:pt>
                <c:pt idx="12">
                  <c:v>62</c:v>
                </c:pt>
                <c:pt idx="13">
                  <c:v>64</c:v>
                </c:pt>
                <c:pt idx="14">
                  <c:v>66</c:v>
                </c:pt>
                <c:pt idx="15">
                  <c:v>68</c:v>
                </c:pt>
                <c:pt idx="16">
                  <c:v>70</c:v>
                </c:pt>
                <c:pt idx="17">
                  <c:v>72</c:v>
                </c:pt>
                <c:pt idx="18">
                  <c:v>74</c:v>
                </c:pt>
                <c:pt idx="19">
                  <c:v>76</c:v>
                </c:pt>
                <c:pt idx="20">
                  <c:v>78</c:v>
                </c:pt>
                <c:pt idx="21">
                  <c:v>80</c:v>
                </c:pt>
                <c:pt idx="22">
                  <c:v>82</c:v>
                </c:pt>
                <c:pt idx="23">
                  <c:v>84</c:v>
                </c:pt>
                <c:pt idx="24">
                  <c:v>86</c:v>
                </c:pt>
                <c:pt idx="25">
                  <c:v>88</c:v>
                </c:pt>
                <c:pt idx="26">
                  <c:v>90</c:v>
                </c:pt>
                <c:pt idx="27">
                  <c:v>92</c:v>
                </c:pt>
                <c:pt idx="28">
                  <c:v>94</c:v>
                </c:pt>
                <c:pt idx="29">
                  <c:v>96</c:v>
                </c:pt>
                <c:pt idx="30">
                  <c:v>98</c:v>
                </c:pt>
                <c:pt idx="31">
                  <c:v>100</c:v>
                </c:pt>
                <c:pt idx="32">
                  <c:v>102</c:v>
                </c:pt>
                <c:pt idx="33">
                  <c:v>104</c:v>
                </c:pt>
                <c:pt idx="34">
                  <c:v>106</c:v>
                </c:pt>
                <c:pt idx="35">
                  <c:v>108</c:v>
                </c:pt>
                <c:pt idx="36">
                  <c:v>110</c:v>
                </c:pt>
                <c:pt idx="37">
                  <c:v>112</c:v>
                </c:pt>
                <c:pt idx="38">
                  <c:v>114</c:v>
                </c:pt>
                <c:pt idx="39">
                  <c:v>116</c:v>
                </c:pt>
                <c:pt idx="40">
                  <c:v>118</c:v>
                </c:pt>
                <c:pt idx="41">
                  <c:v>120</c:v>
                </c:pt>
                <c:pt idx="42">
                  <c:v>122</c:v>
                </c:pt>
                <c:pt idx="43">
                  <c:v>124</c:v>
                </c:pt>
                <c:pt idx="44">
                  <c:v>126</c:v>
                </c:pt>
                <c:pt idx="45">
                  <c:v>128</c:v>
                </c:pt>
                <c:pt idx="46">
                  <c:v>130</c:v>
                </c:pt>
                <c:pt idx="47">
                  <c:v>132</c:v>
                </c:pt>
                <c:pt idx="48">
                  <c:v>134</c:v>
                </c:pt>
                <c:pt idx="49">
                  <c:v>136</c:v>
                </c:pt>
                <c:pt idx="50">
                  <c:v>138</c:v>
                </c:pt>
                <c:pt idx="51">
                  <c:v>140</c:v>
                </c:pt>
                <c:pt idx="52">
                  <c:v>142</c:v>
                </c:pt>
                <c:pt idx="53">
                  <c:v>144</c:v>
                </c:pt>
                <c:pt idx="54">
                  <c:v>146</c:v>
                </c:pt>
                <c:pt idx="55">
                  <c:v>148</c:v>
                </c:pt>
                <c:pt idx="56">
                  <c:v>150</c:v>
                </c:pt>
                <c:pt idx="57">
                  <c:v>152</c:v>
                </c:pt>
                <c:pt idx="58">
                  <c:v>154</c:v>
                </c:pt>
                <c:pt idx="59">
                  <c:v>156</c:v>
                </c:pt>
                <c:pt idx="60">
                  <c:v>158</c:v>
                </c:pt>
                <c:pt idx="61">
                  <c:v>160</c:v>
                </c:pt>
                <c:pt idx="62">
                  <c:v>162</c:v>
                </c:pt>
                <c:pt idx="63">
                  <c:v>164</c:v>
                </c:pt>
                <c:pt idx="64">
                  <c:v>166</c:v>
                </c:pt>
                <c:pt idx="65">
                  <c:v>168</c:v>
                </c:pt>
                <c:pt idx="66">
                  <c:v>170</c:v>
                </c:pt>
                <c:pt idx="67">
                  <c:v>172</c:v>
                </c:pt>
                <c:pt idx="68">
                  <c:v>174</c:v>
                </c:pt>
                <c:pt idx="69">
                  <c:v>176</c:v>
                </c:pt>
                <c:pt idx="70">
                  <c:v>178</c:v>
                </c:pt>
                <c:pt idx="71">
                  <c:v>180</c:v>
                </c:pt>
              </c:numCache>
            </c:numRef>
          </c:xVal>
          <c:yVal>
            <c:numRef>
              <c:f>'EM-Chart'!$AD$12:$AD$83</c:f>
              <c:numCache>
                <c:formatCode>General</c:formatCode>
                <c:ptCount val="72"/>
                <c:pt idx="0">
                  <c:v>2.1772396214971321</c:v>
                </c:pt>
                <c:pt idx="1">
                  <c:v>2.291831180523296</c:v>
                </c:pt>
                <c:pt idx="2">
                  <c:v>2.4064227395494564</c:v>
                </c:pt>
                <c:pt idx="3">
                  <c:v>2.521014298575627</c:v>
                </c:pt>
                <c:pt idx="4">
                  <c:v>2.6356058576017936</c:v>
                </c:pt>
                <c:pt idx="5">
                  <c:v>2.7501974166279575</c:v>
                </c:pt>
                <c:pt idx="6">
                  <c:v>2.8647889756541227</c:v>
                </c:pt>
                <c:pt idx="7">
                  <c:v>2.9793805346802817</c:v>
                </c:pt>
                <c:pt idx="8">
                  <c:v>3.093972093706451</c:v>
                </c:pt>
                <c:pt idx="9">
                  <c:v>3.2085636527326087</c:v>
                </c:pt>
                <c:pt idx="10">
                  <c:v>3.3231552117587775</c:v>
                </c:pt>
                <c:pt idx="11">
                  <c:v>3.4377467707849396</c:v>
                </c:pt>
                <c:pt idx="12">
                  <c:v>3.5523383298111022</c:v>
                </c:pt>
                <c:pt idx="13">
                  <c:v>3.6669298888372661</c:v>
                </c:pt>
                <c:pt idx="14">
                  <c:v>3.7815214478634331</c:v>
                </c:pt>
                <c:pt idx="15">
                  <c:v>3.8961130068895966</c:v>
                </c:pt>
                <c:pt idx="16">
                  <c:v>4.0107045659157601</c:v>
                </c:pt>
                <c:pt idx="17">
                  <c:v>4.1252961249419302</c:v>
                </c:pt>
                <c:pt idx="18">
                  <c:v>4.2398876839680915</c:v>
                </c:pt>
                <c:pt idx="19">
                  <c:v>4.3544792429942563</c:v>
                </c:pt>
                <c:pt idx="20">
                  <c:v>4.4690708020204202</c:v>
                </c:pt>
                <c:pt idx="21">
                  <c:v>4.5836623610465859</c:v>
                </c:pt>
                <c:pt idx="22">
                  <c:v>4.6982539200727524</c:v>
                </c:pt>
                <c:pt idx="23">
                  <c:v>4.8128454790989146</c:v>
                </c:pt>
                <c:pt idx="24">
                  <c:v>4.927437038125082</c:v>
                </c:pt>
                <c:pt idx="25">
                  <c:v>5.0420285971512451</c:v>
                </c:pt>
                <c:pt idx="26">
                  <c:v>5.1566201561774081</c:v>
                </c:pt>
                <c:pt idx="27">
                  <c:v>5.2712117152035747</c:v>
                </c:pt>
                <c:pt idx="28">
                  <c:v>5.3858032742297386</c:v>
                </c:pt>
                <c:pt idx="29">
                  <c:v>5.5003948332559052</c:v>
                </c:pt>
                <c:pt idx="30">
                  <c:v>5.6149863922820691</c:v>
                </c:pt>
                <c:pt idx="31">
                  <c:v>5.7295779513082312</c:v>
                </c:pt>
                <c:pt idx="32">
                  <c:v>5.8441695103343969</c:v>
                </c:pt>
                <c:pt idx="33">
                  <c:v>5.9587610693605635</c:v>
                </c:pt>
                <c:pt idx="34">
                  <c:v>6.0733526283867256</c:v>
                </c:pt>
                <c:pt idx="35">
                  <c:v>6.1879441874128913</c:v>
                </c:pt>
                <c:pt idx="36">
                  <c:v>6.3025357464390552</c:v>
                </c:pt>
                <c:pt idx="37">
                  <c:v>6.4171273054652209</c:v>
                </c:pt>
                <c:pt idx="38">
                  <c:v>6.5317188644913866</c:v>
                </c:pt>
                <c:pt idx="39">
                  <c:v>6.6463104235175496</c:v>
                </c:pt>
                <c:pt idx="40">
                  <c:v>6.7609019825437153</c:v>
                </c:pt>
                <c:pt idx="41">
                  <c:v>6.875493541569881</c:v>
                </c:pt>
                <c:pt idx="42">
                  <c:v>6.990085100596044</c:v>
                </c:pt>
                <c:pt idx="43">
                  <c:v>7.1046766596222088</c:v>
                </c:pt>
                <c:pt idx="44">
                  <c:v>7.2192682186483736</c:v>
                </c:pt>
                <c:pt idx="45">
                  <c:v>7.3338597776745384</c:v>
                </c:pt>
                <c:pt idx="46">
                  <c:v>7.4484513367007033</c:v>
                </c:pt>
                <c:pt idx="47">
                  <c:v>7.5630428957268663</c:v>
                </c:pt>
                <c:pt idx="48">
                  <c:v>7.677634454753032</c:v>
                </c:pt>
                <c:pt idx="49">
                  <c:v>7.792226013779195</c:v>
                </c:pt>
                <c:pt idx="50">
                  <c:v>7.9068175728053616</c:v>
                </c:pt>
                <c:pt idx="51">
                  <c:v>8.0214091318315273</c:v>
                </c:pt>
                <c:pt idx="52">
                  <c:v>8.1360006908576903</c:v>
                </c:pt>
                <c:pt idx="53">
                  <c:v>8.2505922498838569</c:v>
                </c:pt>
                <c:pt idx="54">
                  <c:v>8.3651838089100199</c:v>
                </c:pt>
                <c:pt idx="55">
                  <c:v>8.4797753679361847</c:v>
                </c:pt>
                <c:pt idx="56">
                  <c:v>8.5943669269623495</c:v>
                </c:pt>
                <c:pt idx="57">
                  <c:v>8.7089584859885143</c:v>
                </c:pt>
                <c:pt idx="58">
                  <c:v>8.8235500450146809</c:v>
                </c:pt>
                <c:pt idx="59">
                  <c:v>8.9381416040408439</c:v>
                </c:pt>
                <c:pt idx="60">
                  <c:v>9.0527331630670069</c:v>
                </c:pt>
                <c:pt idx="61">
                  <c:v>9.1673247220931717</c:v>
                </c:pt>
                <c:pt idx="62">
                  <c:v>9.2819162811193401</c:v>
                </c:pt>
                <c:pt idx="63">
                  <c:v>9.3965078401455049</c:v>
                </c:pt>
                <c:pt idx="64">
                  <c:v>9.5110993991716644</c:v>
                </c:pt>
                <c:pt idx="65">
                  <c:v>9.6256909581978309</c:v>
                </c:pt>
                <c:pt idx="66">
                  <c:v>9.7402825172239957</c:v>
                </c:pt>
                <c:pt idx="67">
                  <c:v>9.8548740762501623</c:v>
                </c:pt>
                <c:pt idx="68">
                  <c:v>9.9694656352763253</c:v>
                </c:pt>
                <c:pt idx="69">
                  <c:v>10.084057194302488</c:v>
                </c:pt>
                <c:pt idx="70">
                  <c:v>10.198648753328651</c:v>
                </c:pt>
                <c:pt idx="71">
                  <c:v>10.31324031235482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33-4BB8-B11E-3D9EEE6E2677}"/>
            </c:ext>
          </c:extLst>
        </c:ser>
        <c:ser>
          <c:idx val="4"/>
          <c:order val="4"/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'EM-Chart'!$AH$16:$AH$84</c:f>
              <c:numCache>
                <c:formatCode>General</c:formatCode>
                <c:ptCount val="69"/>
                <c:pt idx="0">
                  <c:v>54</c:v>
                </c:pt>
                <c:pt idx="1">
                  <c:v>56</c:v>
                </c:pt>
                <c:pt idx="2">
                  <c:v>58</c:v>
                </c:pt>
                <c:pt idx="3">
                  <c:v>60</c:v>
                </c:pt>
                <c:pt idx="4">
                  <c:v>62</c:v>
                </c:pt>
                <c:pt idx="5">
                  <c:v>64</c:v>
                </c:pt>
                <c:pt idx="6">
                  <c:v>66</c:v>
                </c:pt>
                <c:pt idx="7">
                  <c:v>68</c:v>
                </c:pt>
                <c:pt idx="8">
                  <c:v>70</c:v>
                </c:pt>
                <c:pt idx="9">
                  <c:v>72</c:v>
                </c:pt>
                <c:pt idx="10">
                  <c:v>74</c:v>
                </c:pt>
                <c:pt idx="11">
                  <c:v>76</c:v>
                </c:pt>
                <c:pt idx="12">
                  <c:v>78</c:v>
                </c:pt>
                <c:pt idx="13">
                  <c:v>80</c:v>
                </c:pt>
                <c:pt idx="14">
                  <c:v>82</c:v>
                </c:pt>
                <c:pt idx="15">
                  <c:v>84</c:v>
                </c:pt>
                <c:pt idx="16">
                  <c:v>86</c:v>
                </c:pt>
                <c:pt idx="17">
                  <c:v>88</c:v>
                </c:pt>
                <c:pt idx="18">
                  <c:v>90</c:v>
                </c:pt>
                <c:pt idx="19">
                  <c:v>92</c:v>
                </c:pt>
                <c:pt idx="20">
                  <c:v>94</c:v>
                </c:pt>
                <c:pt idx="21">
                  <c:v>96</c:v>
                </c:pt>
                <c:pt idx="22">
                  <c:v>98</c:v>
                </c:pt>
                <c:pt idx="23">
                  <c:v>100</c:v>
                </c:pt>
                <c:pt idx="24">
                  <c:v>102</c:v>
                </c:pt>
                <c:pt idx="25">
                  <c:v>104</c:v>
                </c:pt>
                <c:pt idx="26">
                  <c:v>106</c:v>
                </c:pt>
                <c:pt idx="27">
                  <c:v>108</c:v>
                </c:pt>
                <c:pt idx="28">
                  <c:v>110</c:v>
                </c:pt>
                <c:pt idx="29">
                  <c:v>112</c:v>
                </c:pt>
                <c:pt idx="30">
                  <c:v>114</c:v>
                </c:pt>
                <c:pt idx="31">
                  <c:v>116</c:v>
                </c:pt>
                <c:pt idx="32">
                  <c:v>118</c:v>
                </c:pt>
                <c:pt idx="33">
                  <c:v>120</c:v>
                </c:pt>
                <c:pt idx="34">
                  <c:v>122</c:v>
                </c:pt>
                <c:pt idx="35">
                  <c:v>124</c:v>
                </c:pt>
                <c:pt idx="36">
                  <c:v>126</c:v>
                </c:pt>
                <c:pt idx="37">
                  <c:v>128</c:v>
                </c:pt>
                <c:pt idx="38">
                  <c:v>130</c:v>
                </c:pt>
                <c:pt idx="39">
                  <c:v>132</c:v>
                </c:pt>
                <c:pt idx="40">
                  <c:v>134</c:v>
                </c:pt>
                <c:pt idx="41">
                  <c:v>136</c:v>
                </c:pt>
                <c:pt idx="42">
                  <c:v>138</c:v>
                </c:pt>
                <c:pt idx="43">
                  <c:v>140</c:v>
                </c:pt>
                <c:pt idx="44">
                  <c:v>142</c:v>
                </c:pt>
                <c:pt idx="45">
                  <c:v>144</c:v>
                </c:pt>
                <c:pt idx="46">
                  <c:v>146</c:v>
                </c:pt>
                <c:pt idx="47">
                  <c:v>148</c:v>
                </c:pt>
                <c:pt idx="48">
                  <c:v>150</c:v>
                </c:pt>
                <c:pt idx="49">
                  <c:v>152</c:v>
                </c:pt>
                <c:pt idx="50">
                  <c:v>154</c:v>
                </c:pt>
                <c:pt idx="51">
                  <c:v>156</c:v>
                </c:pt>
                <c:pt idx="52">
                  <c:v>158</c:v>
                </c:pt>
                <c:pt idx="53">
                  <c:v>160</c:v>
                </c:pt>
                <c:pt idx="54">
                  <c:v>162</c:v>
                </c:pt>
                <c:pt idx="55">
                  <c:v>164</c:v>
                </c:pt>
                <c:pt idx="56">
                  <c:v>166</c:v>
                </c:pt>
                <c:pt idx="57">
                  <c:v>168</c:v>
                </c:pt>
                <c:pt idx="58">
                  <c:v>170</c:v>
                </c:pt>
                <c:pt idx="59">
                  <c:v>172</c:v>
                </c:pt>
                <c:pt idx="60">
                  <c:v>174</c:v>
                </c:pt>
                <c:pt idx="61">
                  <c:v>176</c:v>
                </c:pt>
                <c:pt idx="62">
                  <c:v>178</c:v>
                </c:pt>
                <c:pt idx="63">
                  <c:v>180</c:v>
                </c:pt>
                <c:pt idx="64">
                  <c:v>182</c:v>
                </c:pt>
                <c:pt idx="65">
                  <c:v>184</c:v>
                </c:pt>
                <c:pt idx="66">
                  <c:v>186</c:v>
                </c:pt>
                <c:pt idx="67">
                  <c:v>188</c:v>
                </c:pt>
                <c:pt idx="68">
                  <c:v>190</c:v>
                </c:pt>
              </c:numCache>
            </c:numRef>
          </c:xVal>
          <c:yVal>
            <c:numRef>
              <c:f>'EM-Chart'!$AQ$16:$AQ$84</c:f>
              <c:numCache>
                <c:formatCode>General</c:formatCode>
                <c:ptCount val="69"/>
                <c:pt idx="0">
                  <c:v>18.0284548802926</c:v>
                </c:pt>
                <c:pt idx="1">
                  <c:v>17.384581491710723</c:v>
                </c:pt>
                <c:pt idx="2">
                  <c:v>16.785113164410351</c:v>
                </c:pt>
                <c:pt idx="3">
                  <c:v>16.225609392263344</c:v>
                </c:pt>
                <c:pt idx="4">
                  <c:v>15.702202637674201</c:v>
                </c:pt>
                <c:pt idx="5">
                  <c:v>15.211508805246883</c:v>
                </c:pt>
                <c:pt idx="6">
                  <c:v>14.750553992966672</c:v>
                </c:pt>
                <c:pt idx="7">
                  <c:v>14.316714169644124</c:v>
                </c:pt>
                <c:pt idx="8">
                  <c:v>13.907665193368578</c:v>
                </c:pt>
                <c:pt idx="9">
                  <c:v>13.521341160219452</c:v>
                </c:pt>
                <c:pt idx="10">
                  <c:v>13.155899507240546</c:v>
                </c:pt>
                <c:pt idx="11">
                  <c:v>12.809691625471061</c:v>
                </c:pt>
                <c:pt idx="12">
                  <c:v>12.481237994048724</c:v>
                </c:pt>
                <c:pt idx="13">
                  <c:v>12.169207044197506</c:v>
                </c:pt>
                <c:pt idx="14">
                  <c:v>11.872397116290252</c:v>
                </c:pt>
                <c:pt idx="15">
                  <c:v>11.589720994473813</c:v>
                </c:pt>
                <c:pt idx="16">
                  <c:v>11.320192599253495</c:v>
                </c:pt>
                <c:pt idx="17">
                  <c:v>11.062915494725006</c:v>
                </c:pt>
                <c:pt idx="18">
                  <c:v>10.817072928175561</c:v>
                </c:pt>
                <c:pt idx="19">
                  <c:v>10.581919168867397</c:v>
                </c:pt>
                <c:pt idx="20">
                  <c:v>10.356771952508515</c:v>
                </c:pt>
                <c:pt idx="21">
                  <c:v>10.141005870164589</c:v>
                </c:pt>
                <c:pt idx="22">
                  <c:v>9.9340465666918423</c:v>
                </c:pt>
                <c:pt idx="23">
                  <c:v>9.7353656353580043</c:v>
                </c:pt>
                <c:pt idx="24">
                  <c:v>9.5444761130960831</c:v>
                </c:pt>
                <c:pt idx="25">
                  <c:v>9.3609284955365428</c:v>
                </c:pt>
                <c:pt idx="26">
                  <c:v>9.1843072031679291</c:v>
                </c:pt>
                <c:pt idx="27">
                  <c:v>9.0142274401462998</c:v>
                </c:pt>
                <c:pt idx="28">
                  <c:v>8.8503323957800042</c:v>
                </c:pt>
                <c:pt idx="29">
                  <c:v>8.6922907458553613</c:v>
                </c:pt>
                <c:pt idx="30">
                  <c:v>8.5397944169807065</c:v>
                </c:pt>
                <c:pt idx="31">
                  <c:v>8.3925565822051755</c:v>
                </c:pt>
                <c:pt idx="32">
                  <c:v>8.2503098604728855</c:v>
                </c:pt>
                <c:pt idx="33">
                  <c:v>8.112804696131672</c:v>
                </c:pt>
                <c:pt idx="34">
                  <c:v>7.97980789783443</c:v>
                </c:pt>
                <c:pt idx="35">
                  <c:v>7.8511013188371006</c:v>
                </c:pt>
                <c:pt idx="36">
                  <c:v>7.726480662982544</c:v>
                </c:pt>
                <c:pt idx="37">
                  <c:v>7.6057544026234414</c:v>
                </c:pt>
                <c:pt idx="38">
                  <c:v>7.4887427964292348</c:v>
                </c:pt>
                <c:pt idx="39">
                  <c:v>7.3752769964833362</c:v>
                </c:pt>
                <c:pt idx="40">
                  <c:v>7.2651982353417948</c:v>
                </c:pt>
                <c:pt idx="41">
                  <c:v>7.1583570848220619</c:v>
                </c:pt>
                <c:pt idx="42">
                  <c:v>7.0546127792449305</c:v>
                </c:pt>
                <c:pt idx="43">
                  <c:v>6.9538325966842889</c:v>
                </c:pt>
                <c:pt idx="44">
                  <c:v>6.8558912925056372</c:v>
                </c:pt>
                <c:pt idx="45">
                  <c:v>6.7606705801097258</c:v>
                </c:pt>
                <c:pt idx="46">
                  <c:v>6.6680586543547982</c:v>
                </c:pt>
                <c:pt idx="47">
                  <c:v>6.5779497536202731</c:v>
                </c:pt>
                <c:pt idx="48">
                  <c:v>6.4902437569053371</c:v>
                </c:pt>
                <c:pt idx="49">
                  <c:v>6.4048458127355303</c:v>
                </c:pt>
                <c:pt idx="50">
                  <c:v>6.3216659969857174</c:v>
                </c:pt>
                <c:pt idx="51">
                  <c:v>6.2406189970243622</c:v>
                </c:pt>
                <c:pt idx="52">
                  <c:v>6.161623819846838</c:v>
                </c:pt>
                <c:pt idx="53">
                  <c:v>6.0846035220987531</c:v>
                </c:pt>
                <c:pt idx="54">
                  <c:v>6.0094849600975344</c:v>
                </c:pt>
                <c:pt idx="55">
                  <c:v>5.9361985581451258</c:v>
                </c:pt>
                <c:pt idx="56">
                  <c:v>5.8646780935891583</c:v>
                </c:pt>
                <c:pt idx="57">
                  <c:v>5.7948604972369067</c:v>
                </c:pt>
                <c:pt idx="58">
                  <c:v>5.7266856678576499</c:v>
                </c:pt>
                <c:pt idx="59">
                  <c:v>5.6600962996267477</c:v>
                </c:pt>
                <c:pt idx="60">
                  <c:v>5.5950377214701179</c:v>
                </c:pt>
                <c:pt idx="61">
                  <c:v>5.5314577473625031</c:v>
                </c:pt>
                <c:pt idx="62">
                  <c:v>5.4693065367179798</c:v>
                </c:pt>
                <c:pt idx="63">
                  <c:v>5.4085364640877804</c:v>
                </c:pt>
                <c:pt idx="64">
                  <c:v>5.3491019974494538</c:v>
                </c:pt>
                <c:pt idx="65">
                  <c:v>5.2909595844336987</c:v>
                </c:pt>
                <c:pt idx="66">
                  <c:v>5.234067545891401</c:v>
                </c:pt>
                <c:pt idx="67">
                  <c:v>5.1783859762542575</c:v>
                </c:pt>
                <c:pt idx="68">
                  <c:v>5.1238766501884232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33-4BB8-B11E-3D9EEE6E2677}"/>
            </c:ext>
          </c:extLst>
        </c:ser>
        <c:ser>
          <c:idx val="5"/>
          <c:order val="5"/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'EM-Chart'!$AH$8:$AH$81</c:f>
              <c:numCache>
                <c:formatCode>General</c:formatCode>
                <c:ptCount val="74"/>
                <c:pt idx="0">
                  <c:v>38</c:v>
                </c:pt>
                <c:pt idx="1">
                  <c:v>40</c:v>
                </c:pt>
                <c:pt idx="2">
                  <c:v>42</c:v>
                </c:pt>
                <c:pt idx="3">
                  <c:v>44</c:v>
                </c:pt>
                <c:pt idx="4">
                  <c:v>46</c:v>
                </c:pt>
                <c:pt idx="5">
                  <c:v>48</c:v>
                </c:pt>
                <c:pt idx="6">
                  <c:v>50</c:v>
                </c:pt>
                <c:pt idx="7">
                  <c:v>52</c:v>
                </c:pt>
                <c:pt idx="8">
                  <c:v>54</c:v>
                </c:pt>
                <c:pt idx="9">
                  <c:v>56</c:v>
                </c:pt>
                <c:pt idx="10">
                  <c:v>58</c:v>
                </c:pt>
                <c:pt idx="11">
                  <c:v>60</c:v>
                </c:pt>
                <c:pt idx="12">
                  <c:v>62</c:v>
                </c:pt>
                <c:pt idx="13">
                  <c:v>64</c:v>
                </c:pt>
                <c:pt idx="14">
                  <c:v>66</c:v>
                </c:pt>
                <c:pt idx="15">
                  <c:v>68</c:v>
                </c:pt>
                <c:pt idx="16">
                  <c:v>70</c:v>
                </c:pt>
                <c:pt idx="17">
                  <c:v>72</c:v>
                </c:pt>
                <c:pt idx="18">
                  <c:v>74</c:v>
                </c:pt>
                <c:pt idx="19">
                  <c:v>76</c:v>
                </c:pt>
                <c:pt idx="20">
                  <c:v>78</c:v>
                </c:pt>
                <c:pt idx="21">
                  <c:v>80</c:v>
                </c:pt>
                <c:pt idx="22">
                  <c:v>82</c:v>
                </c:pt>
                <c:pt idx="23">
                  <c:v>84</c:v>
                </c:pt>
                <c:pt idx="24">
                  <c:v>86</c:v>
                </c:pt>
                <c:pt idx="25">
                  <c:v>88</c:v>
                </c:pt>
                <c:pt idx="26">
                  <c:v>90</c:v>
                </c:pt>
                <c:pt idx="27">
                  <c:v>92</c:v>
                </c:pt>
                <c:pt idx="28">
                  <c:v>94</c:v>
                </c:pt>
                <c:pt idx="29">
                  <c:v>96</c:v>
                </c:pt>
                <c:pt idx="30">
                  <c:v>98</c:v>
                </c:pt>
                <c:pt idx="31">
                  <c:v>100</c:v>
                </c:pt>
                <c:pt idx="32">
                  <c:v>102</c:v>
                </c:pt>
                <c:pt idx="33">
                  <c:v>104</c:v>
                </c:pt>
                <c:pt idx="34">
                  <c:v>106</c:v>
                </c:pt>
                <c:pt idx="35">
                  <c:v>108</c:v>
                </c:pt>
                <c:pt idx="36">
                  <c:v>110</c:v>
                </c:pt>
                <c:pt idx="37">
                  <c:v>112</c:v>
                </c:pt>
                <c:pt idx="38">
                  <c:v>114</c:v>
                </c:pt>
                <c:pt idx="39">
                  <c:v>116</c:v>
                </c:pt>
                <c:pt idx="40">
                  <c:v>118</c:v>
                </c:pt>
                <c:pt idx="41">
                  <c:v>120</c:v>
                </c:pt>
                <c:pt idx="42">
                  <c:v>122</c:v>
                </c:pt>
                <c:pt idx="43">
                  <c:v>124</c:v>
                </c:pt>
                <c:pt idx="44">
                  <c:v>126</c:v>
                </c:pt>
                <c:pt idx="45">
                  <c:v>128</c:v>
                </c:pt>
                <c:pt idx="46">
                  <c:v>130</c:v>
                </c:pt>
                <c:pt idx="47">
                  <c:v>132</c:v>
                </c:pt>
                <c:pt idx="48">
                  <c:v>134</c:v>
                </c:pt>
                <c:pt idx="49">
                  <c:v>136</c:v>
                </c:pt>
                <c:pt idx="50">
                  <c:v>138</c:v>
                </c:pt>
                <c:pt idx="51">
                  <c:v>140</c:v>
                </c:pt>
                <c:pt idx="52">
                  <c:v>142</c:v>
                </c:pt>
                <c:pt idx="53">
                  <c:v>144</c:v>
                </c:pt>
                <c:pt idx="54">
                  <c:v>146</c:v>
                </c:pt>
                <c:pt idx="55">
                  <c:v>148</c:v>
                </c:pt>
                <c:pt idx="56">
                  <c:v>150</c:v>
                </c:pt>
                <c:pt idx="57">
                  <c:v>152</c:v>
                </c:pt>
                <c:pt idx="58">
                  <c:v>154</c:v>
                </c:pt>
                <c:pt idx="59">
                  <c:v>156</c:v>
                </c:pt>
                <c:pt idx="60">
                  <c:v>158</c:v>
                </c:pt>
                <c:pt idx="61">
                  <c:v>160</c:v>
                </c:pt>
                <c:pt idx="62">
                  <c:v>162</c:v>
                </c:pt>
                <c:pt idx="63">
                  <c:v>164</c:v>
                </c:pt>
                <c:pt idx="64">
                  <c:v>166</c:v>
                </c:pt>
                <c:pt idx="65">
                  <c:v>168</c:v>
                </c:pt>
                <c:pt idx="66">
                  <c:v>170</c:v>
                </c:pt>
                <c:pt idx="67">
                  <c:v>172</c:v>
                </c:pt>
                <c:pt idx="68">
                  <c:v>174</c:v>
                </c:pt>
                <c:pt idx="69">
                  <c:v>176</c:v>
                </c:pt>
                <c:pt idx="70">
                  <c:v>178</c:v>
                </c:pt>
                <c:pt idx="71">
                  <c:v>180</c:v>
                </c:pt>
                <c:pt idx="72">
                  <c:v>182</c:v>
                </c:pt>
                <c:pt idx="73">
                  <c:v>184</c:v>
                </c:pt>
              </c:numCache>
            </c:numRef>
          </c:xVal>
          <c:yVal>
            <c:numRef>
              <c:f>'EM-Chart'!$AR$8:$AR$81</c:f>
              <c:numCache>
                <c:formatCode>General</c:formatCode>
                <c:ptCount val="74"/>
                <c:pt idx="0">
                  <c:v>2.7215495268714229</c:v>
                </c:pt>
                <c:pt idx="1">
                  <c:v>2.8647889756541107</c:v>
                </c:pt>
                <c:pt idx="2">
                  <c:v>3.0080284244368225</c:v>
                </c:pt>
                <c:pt idx="3">
                  <c:v>3.1512678732195272</c:v>
                </c:pt>
                <c:pt idx="4">
                  <c:v>3.2945073220022301</c:v>
                </c:pt>
                <c:pt idx="5">
                  <c:v>3.4377467707849427</c:v>
                </c:pt>
                <c:pt idx="6">
                  <c:v>3.5809862195676447</c:v>
                </c:pt>
                <c:pt idx="7">
                  <c:v>3.7242256683503503</c:v>
                </c:pt>
                <c:pt idx="8">
                  <c:v>3.8674651171330603</c:v>
                </c:pt>
                <c:pt idx="9">
                  <c:v>4.0107045659157636</c:v>
                </c:pt>
                <c:pt idx="10">
                  <c:v>4.1539440146984683</c:v>
                </c:pt>
                <c:pt idx="11">
                  <c:v>4.2971834634811739</c:v>
                </c:pt>
                <c:pt idx="12">
                  <c:v>4.4404229122638812</c:v>
                </c:pt>
                <c:pt idx="13">
                  <c:v>4.5836623610465868</c:v>
                </c:pt>
                <c:pt idx="14">
                  <c:v>4.7269018098292896</c:v>
                </c:pt>
                <c:pt idx="15">
                  <c:v>4.8701412586119996</c:v>
                </c:pt>
                <c:pt idx="16">
                  <c:v>5.0133807073947043</c:v>
                </c:pt>
                <c:pt idx="17">
                  <c:v>5.1566201561774117</c:v>
                </c:pt>
                <c:pt idx="18">
                  <c:v>5.2998596049601145</c:v>
                </c:pt>
                <c:pt idx="19">
                  <c:v>5.4430990537428201</c:v>
                </c:pt>
                <c:pt idx="20">
                  <c:v>5.5863385025255266</c:v>
                </c:pt>
                <c:pt idx="21">
                  <c:v>5.7295779513082312</c:v>
                </c:pt>
                <c:pt idx="22">
                  <c:v>5.8728174000909386</c:v>
                </c:pt>
                <c:pt idx="23">
                  <c:v>6.0160568488736441</c:v>
                </c:pt>
                <c:pt idx="24">
                  <c:v>6.1592962976563506</c:v>
                </c:pt>
                <c:pt idx="25">
                  <c:v>6.3025357464390561</c:v>
                </c:pt>
                <c:pt idx="26">
                  <c:v>6.4457751952217626</c:v>
                </c:pt>
                <c:pt idx="27">
                  <c:v>6.5890146440044681</c:v>
                </c:pt>
                <c:pt idx="28">
                  <c:v>6.7322540927871719</c:v>
                </c:pt>
                <c:pt idx="29">
                  <c:v>6.8754935415698792</c:v>
                </c:pt>
                <c:pt idx="30">
                  <c:v>7.0187329903525857</c:v>
                </c:pt>
                <c:pt idx="31">
                  <c:v>7.1619724391352921</c:v>
                </c:pt>
                <c:pt idx="32">
                  <c:v>7.305211887917995</c:v>
                </c:pt>
                <c:pt idx="33">
                  <c:v>7.4484513367007024</c:v>
                </c:pt>
                <c:pt idx="34">
                  <c:v>7.591690785483407</c:v>
                </c:pt>
                <c:pt idx="35">
                  <c:v>7.7349302342661153</c:v>
                </c:pt>
                <c:pt idx="36">
                  <c:v>7.878169683048819</c:v>
                </c:pt>
                <c:pt idx="37">
                  <c:v>8.0214091318315255</c:v>
                </c:pt>
                <c:pt idx="38">
                  <c:v>8.1646485806142319</c:v>
                </c:pt>
                <c:pt idx="39">
                  <c:v>8.3078880293969366</c:v>
                </c:pt>
                <c:pt idx="40">
                  <c:v>8.4511274781796466</c:v>
                </c:pt>
                <c:pt idx="41">
                  <c:v>8.5943669269623513</c:v>
                </c:pt>
                <c:pt idx="42">
                  <c:v>8.7376063757450542</c:v>
                </c:pt>
                <c:pt idx="43">
                  <c:v>8.8808458245277624</c:v>
                </c:pt>
                <c:pt idx="44">
                  <c:v>9.0240852733104688</c:v>
                </c:pt>
                <c:pt idx="45">
                  <c:v>9.1673247220931717</c:v>
                </c:pt>
                <c:pt idx="46">
                  <c:v>9.31056417087588</c:v>
                </c:pt>
                <c:pt idx="47">
                  <c:v>9.4538036196585828</c:v>
                </c:pt>
                <c:pt idx="48">
                  <c:v>9.5970430684412893</c:v>
                </c:pt>
                <c:pt idx="49">
                  <c:v>9.7402825172239957</c:v>
                </c:pt>
                <c:pt idx="50">
                  <c:v>9.8835219660067004</c:v>
                </c:pt>
                <c:pt idx="51">
                  <c:v>10.026761414789405</c:v>
                </c:pt>
                <c:pt idx="52">
                  <c:v>10.170000863572112</c:v>
                </c:pt>
                <c:pt idx="53">
                  <c:v>10.31324031235482</c:v>
                </c:pt>
                <c:pt idx="54">
                  <c:v>10.456479761137524</c:v>
                </c:pt>
                <c:pt idx="55">
                  <c:v>10.599719209920231</c:v>
                </c:pt>
                <c:pt idx="56">
                  <c:v>10.742958658702936</c:v>
                </c:pt>
                <c:pt idx="57">
                  <c:v>10.886198107485644</c:v>
                </c:pt>
                <c:pt idx="58">
                  <c:v>11.029437556268348</c:v>
                </c:pt>
                <c:pt idx="59">
                  <c:v>11.172677005051055</c:v>
                </c:pt>
                <c:pt idx="60">
                  <c:v>11.31591645383376</c:v>
                </c:pt>
                <c:pt idx="61">
                  <c:v>11.459155902616464</c:v>
                </c:pt>
                <c:pt idx="62">
                  <c:v>11.602395351399172</c:v>
                </c:pt>
                <c:pt idx="63">
                  <c:v>11.745634800181881</c:v>
                </c:pt>
                <c:pt idx="64">
                  <c:v>11.88887424896458</c:v>
                </c:pt>
                <c:pt idx="65">
                  <c:v>12.032113697747288</c:v>
                </c:pt>
                <c:pt idx="66">
                  <c:v>12.175353146529995</c:v>
                </c:pt>
                <c:pt idx="67">
                  <c:v>12.318592595312701</c:v>
                </c:pt>
                <c:pt idx="68">
                  <c:v>12.461832044095408</c:v>
                </c:pt>
                <c:pt idx="69">
                  <c:v>12.605071492878112</c:v>
                </c:pt>
                <c:pt idx="70">
                  <c:v>12.748310941660819</c:v>
                </c:pt>
                <c:pt idx="71">
                  <c:v>12.891550390443523</c:v>
                </c:pt>
                <c:pt idx="72">
                  <c:v>13.034789839226232</c:v>
                </c:pt>
                <c:pt idx="73">
                  <c:v>13.178029288008936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33-4BB8-B11E-3D9EEE6E2677}"/>
            </c:ext>
          </c:extLst>
        </c:ser>
        <c:ser>
          <c:idx val="6"/>
          <c:order val="6"/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'EM-Chart'!$H$104:$H$167</c:f>
              <c:numCache>
                <c:formatCode>General</c:formatCode>
                <c:ptCount val="64"/>
                <c:pt idx="0">
                  <c:v>64</c:v>
                </c:pt>
                <c:pt idx="1">
                  <c:v>66</c:v>
                </c:pt>
                <c:pt idx="2">
                  <c:v>68</c:v>
                </c:pt>
                <c:pt idx="3">
                  <c:v>70</c:v>
                </c:pt>
                <c:pt idx="4">
                  <c:v>72</c:v>
                </c:pt>
                <c:pt idx="5">
                  <c:v>74</c:v>
                </c:pt>
                <c:pt idx="6">
                  <c:v>76</c:v>
                </c:pt>
                <c:pt idx="7">
                  <c:v>78</c:v>
                </c:pt>
                <c:pt idx="8">
                  <c:v>80</c:v>
                </c:pt>
                <c:pt idx="9">
                  <c:v>82</c:v>
                </c:pt>
                <c:pt idx="10">
                  <c:v>84</c:v>
                </c:pt>
                <c:pt idx="11">
                  <c:v>86</c:v>
                </c:pt>
                <c:pt idx="12">
                  <c:v>88</c:v>
                </c:pt>
                <c:pt idx="13">
                  <c:v>90</c:v>
                </c:pt>
                <c:pt idx="14">
                  <c:v>92</c:v>
                </c:pt>
                <c:pt idx="15">
                  <c:v>94</c:v>
                </c:pt>
                <c:pt idx="16">
                  <c:v>96</c:v>
                </c:pt>
                <c:pt idx="17">
                  <c:v>98</c:v>
                </c:pt>
                <c:pt idx="18">
                  <c:v>100</c:v>
                </c:pt>
                <c:pt idx="19">
                  <c:v>102</c:v>
                </c:pt>
                <c:pt idx="20">
                  <c:v>104</c:v>
                </c:pt>
                <c:pt idx="21">
                  <c:v>106</c:v>
                </c:pt>
                <c:pt idx="22">
                  <c:v>108</c:v>
                </c:pt>
                <c:pt idx="23">
                  <c:v>110</c:v>
                </c:pt>
                <c:pt idx="24">
                  <c:v>112</c:v>
                </c:pt>
                <c:pt idx="25">
                  <c:v>114</c:v>
                </c:pt>
                <c:pt idx="26">
                  <c:v>116</c:v>
                </c:pt>
                <c:pt idx="27">
                  <c:v>118</c:v>
                </c:pt>
                <c:pt idx="28">
                  <c:v>120</c:v>
                </c:pt>
                <c:pt idx="29">
                  <c:v>122</c:v>
                </c:pt>
                <c:pt idx="30">
                  <c:v>124</c:v>
                </c:pt>
                <c:pt idx="31">
                  <c:v>126</c:v>
                </c:pt>
                <c:pt idx="32">
                  <c:v>128</c:v>
                </c:pt>
                <c:pt idx="33">
                  <c:v>130</c:v>
                </c:pt>
                <c:pt idx="34">
                  <c:v>132</c:v>
                </c:pt>
                <c:pt idx="35">
                  <c:v>134</c:v>
                </c:pt>
                <c:pt idx="36">
                  <c:v>136</c:v>
                </c:pt>
                <c:pt idx="37">
                  <c:v>138</c:v>
                </c:pt>
                <c:pt idx="38">
                  <c:v>140</c:v>
                </c:pt>
                <c:pt idx="39">
                  <c:v>142</c:v>
                </c:pt>
                <c:pt idx="40">
                  <c:v>144</c:v>
                </c:pt>
                <c:pt idx="41">
                  <c:v>146</c:v>
                </c:pt>
                <c:pt idx="42">
                  <c:v>148</c:v>
                </c:pt>
                <c:pt idx="43">
                  <c:v>150</c:v>
                </c:pt>
                <c:pt idx="44">
                  <c:v>152</c:v>
                </c:pt>
                <c:pt idx="45">
                  <c:v>154</c:v>
                </c:pt>
                <c:pt idx="46">
                  <c:v>156</c:v>
                </c:pt>
                <c:pt idx="47">
                  <c:v>158</c:v>
                </c:pt>
                <c:pt idx="48">
                  <c:v>160</c:v>
                </c:pt>
                <c:pt idx="49">
                  <c:v>162</c:v>
                </c:pt>
                <c:pt idx="50">
                  <c:v>164</c:v>
                </c:pt>
                <c:pt idx="51">
                  <c:v>166</c:v>
                </c:pt>
                <c:pt idx="52">
                  <c:v>168</c:v>
                </c:pt>
                <c:pt idx="53">
                  <c:v>170</c:v>
                </c:pt>
                <c:pt idx="54">
                  <c:v>172</c:v>
                </c:pt>
                <c:pt idx="55">
                  <c:v>174</c:v>
                </c:pt>
                <c:pt idx="56">
                  <c:v>176</c:v>
                </c:pt>
                <c:pt idx="57">
                  <c:v>178</c:v>
                </c:pt>
                <c:pt idx="58">
                  <c:v>180</c:v>
                </c:pt>
                <c:pt idx="59">
                  <c:v>182</c:v>
                </c:pt>
                <c:pt idx="60">
                  <c:v>184</c:v>
                </c:pt>
                <c:pt idx="61">
                  <c:v>186</c:v>
                </c:pt>
                <c:pt idx="62">
                  <c:v>188</c:v>
                </c:pt>
                <c:pt idx="63">
                  <c:v>190</c:v>
                </c:pt>
              </c:numCache>
            </c:numRef>
          </c:xVal>
          <c:yVal>
            <c:numRef>
              <c:f>'EM-Chart'!$Q$104:$Q$167</c:f>
              <c:numCache>
                <c:formatCode>General</c:formatCode>
                <c:ptCount val="64"/>
                <c:pt idx="0">
                  <c:v>24.840289860472158</c:v>
                </c:pt>
                <c:pt idx="1">
                  <c:v>24.087553804094213</c:v>
                </c:pt>
                <c:pt idx="2">
                  <c:v>23.379096339267914</c:v>
                </c:pt>
                <c:pt idx="3">
                  <c:v>22.711122158145972</c:v>
                </c:pt>
                <c:pt idx="4">
                  <c:v>22.080257653753034</c:v>
                </c:pt>
                <c:pt idx="5">
                  <c:v>21.483493933381325</c:v>
                </c:pt>
                <c:pt idx="6">
                  <c:v>20.918138829871292</c:v>
                </c:pt>
                <c:pt idx="7">
                  <c:v>20.381776295772028</c:v>
                </c:pt>
                <c:pt idx="8">
                  <c:v>19.872231888377726</c:v>
                </c:pt>
                <c:pt idx="9">
                  <c:v>19.387543305734372</c:v>
                </c:pt>
                <c:pt idx="10">
                  <c:v>18.925935131788311</c:v>
                </c:pt>
                <c:pt idx="11">
                  <c:v>18.485797105467654</c:v>
                </c:pt>
                <c:pt idx="12">
                  <c:v>18.065665353070663</c:v>
                </c:pt>
                <c:pt idx="13">
                  <c:v>17.664206123002426</c:v>
                </c:pt>
                <c:pt idx="14">
                  <c:v>17.280201642067592</c:v>
                </c:pt>
                <c:pt idx="15">
                  <c:v>16.912537777342749</c:v>
                </c:pt>
                <c:pt idx="16">
                  <c:v>16.560193240314774</c:v>
                </c:pt>
                <c:pt idx="17">
                  <c:v>16.222230112961412</c:v>
                </c:pt>
                <c:pt idx="18">
                  <c:v>15.897785510702182</c:v>
                </c:pt>
                <c:pt idx="19">
                  <c:v>15.586064226178609</c:v>
                </c:pt>
                <c:pt idx="20">
                  <c:v>15.286332221829019</c:v>
                </c:pt>
                <c:pt idx="21">
                  <c:v>14.997910859153002</c:v>
                </c:pt>
                <c:pt idx="22">
                  <c:v>14.720171769168687</c:v>
                </c:pt>
                <c:pt idx="23">
                  <c:v>14.452532282456527</c:v>
                </c:pt>
                <c:pt idx="24">
                  <c:v>14.194451348841234</c:v>
                </c:pt>
                <c:pt idx="25">
                  <c:v>13.945425886580864</c:v>
                </c:pt>
                <c:pt idx="26">
                  <c:v>13.704987509226017</c:v>
                </c:pt>
                <c:pt idx="27">
                  <c:v>13.472699585340832</c:v>
                </c:pt>
                <c:pt idx="28">
                  <c:v>13.248154592251819</c:v>
                </c:pt>
                <c:pt idx="29">
                  <c:v>13.030971730083756</c:v>
                </c:pt>
                <c:pt idx="30">
                  <c:v>12.820794766695307</c:v>
                </c:pt>
                <c:pt idx="31">
                  <c:v>12.617290087858875</c:v>
                </c:pt>
                <c:pt idx="32">
                  <c:v>12.420144930236079</c:v>
                </c:pt>
                <c:pt idx="33">
                  <c:v>12.229065777463218</c:v>
                </c:pt>
                <c:pt idx="34">
                  <c:v>12.043776902047107</c:v>
                </c:pt>
                <c:pt idx="35">
                  <c:v>11.864019037837449</c:v>
                </c:pt>
                <c:pt idx="36">
                  <c:v>11.689548169633957</c:v>
                </c:pt>
                <c:pt idx="37">
                  <c:v>11.520134428045059</c:v>
                </c:pt>
                <c:pt idx="38">
                  <c:v>11.355561079072986</c:v>
                </c:pt>
                <c:pt idx="39">
                  <c:v>11.195623599086042</c:v>
                </c:pt>
                <c:pt idx="40">
                  <c:v>11.040128826876517</c:v>
                </c:pt>
                <c:pt idx="41">
                  <c:v>10.888894185412454</c:v>
                </c:pt>
                <c:pt idx="42">
                  <c:v>10.741746966690663</c:v>
                </c:pt>
                <c:pt idx="43">
                  <c:v>10.598523673801456</c:v>
                </c:pt>
                <c:pt idx="44">
                  <c:v>10.459069414935646</c:v>
                </c:pt>
                <c:pt idx="45">
                  <c:v>10.323237344611806</c:v>
                </c:pt>
                <c:pt idx="46">
                  <c:v>10.190888147886014</c:v>
                </c:pt>
                <c:pt idx="47">
                  <c:v>10.061889563735559</c:v>
                </c:pt>
                <c:pt idx="48">
                  <c:v>9.9361159441888631</c:v>
                </c:pt>
                <c:pt idx="49">
                  <c:v>9.8134478461124584</c:v>
                </c:pt>
                <c:pt idx="50">
                  <c:v>9.693771652867186</c:v>
                </c:pt>
                <c:pt idx="51">
                  <c:v>9.5769792233145665</c:v>
                </c:pt>
                <c:pt idx="52">
                  <c:v>9.4629675658941554</c:v>
                </c:pt>
                <c:pt idx="53">
                  <c:v>9.3516385357071652</c:v>
                </c:pt>
                <c:pt idx="54">
                  <c:v>9.242898552733827</c:v>
                </c:pt>
                <c:pt idx="55">
                  <c:v>9.1366583394840131</c:v>
                </c:pt>
                <c:pt idx="56">
                  <c:v>9.0328326765353317</c:v>
                </c:pt>
                <c:pt idx="57">
                  <c:v>8.9313401745517869</c:v>
                </c:pt>
                <c:pt idx="58">
                  <c:v>8.832103061501213</c:v>
                </c:pt>
                <c:pt idx="59">
                  <c:v>8.7350469839022988</c:v>
                </c:pt>
                <c:pt idx="60">
                  <c:v>8.640100821033796</c:v>
                </c:pt>
                <c:pt idx="61">
                  <c:v>8.5471965111302062</c:v>
                </c:pt>
                <c:pt idx="62">
                  <c:v>8.4562688886713744</c:v>
                </c:pt>
                <c:pt idx="63">
                  <c:v>8.3672555319485156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733-4BB8-B11E-3D9EEE6E2677}"/>
            </c:ext>
          </c:extLst>
        </c:ser>
        <c:ser>
          <c:idx val="7"/>
          <c:order val="7"/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'EM-Chart'!$H$92:$H$157</c:f>
              <c:numCache>
                <c:formatCode>General</c:formatCode>
                <c:ptCount val="66"/>
                <c:pt idx="0">
                  <c:v>40</c:v>
                </c:pt>
                <c:pt idx="1">
                  <c:v>42</c:v>
                </c:pt>
                <c:pt idx="2">
                  <c:v>44</c:v>
                </c:pt>
                <c:pt idx="3">
                  <c:v>46</c:v>
                </c:pt>
                <c:pt idx="4">
                  <c:v>48</c:v>
                </c:pt>
                <c:pt idx="5">
                  <c:v>50</c:v>
                </c:pt>
                <c:pt idx="6">
                  <c:v>52</c:v>
                </c:pt>
                <c:pt idx="7">
                  <c:v>54</c:v>
                </c:pt>
                <c:pt idx="8">
                  <c:v>56</c:v>
                </c:pt>
                <c:pt idx="9">
                  <c:v>58</c:v>
                </c:pt>
                <c:pt idx="10">
                  <c:v>60</c:v>
                </c:pt>
                <c:pt idx="11">
                  <c:v>62</c:v>
                </c:pt>
                <c:pt idx="12">
                  <c:v>64</c:v>
                </c:pt>
                <c:pt idx="13">
                  <c:v>66</c:v>
                </c:pt>
                <c:pt idx="14">
                  <c:v>68</c:v>
                </c:pt>
                <c:pt idx="15">
                  <c:v>70</c:v>
                </c:pt>
                <c:pt idx="16">
                  <c:v>72</c:v>
                </c:pt>
                <c:pt idx="17">
                  <c:v>74</c:v>
                </c:pt>
                <c:pt idx="18">
                  <c:v>76</c:v>
                </c:pt>
                <c:pt idx="19">
                  <c:v>78</c:v>
                </c:pt>
                <c:pt idx="20">
                  <c:v>80</c:v>
                </c:pt>
                <c:pt idx="21">
                  <c:v>82</c:v>
                </c:pt>
                <c:pt idx="22">
                  <c:v>84</c:v>
                </c:pt>
                <c:pt idx="23">
                  <c:v>86</c:v>
                </c:pt>
                <c:pt idx="24">
                  <c:v>88</c:v>
                </c:pt>
                <c:pt idx="25">
                  <c:v>90</c:v>
                </c:pt>
                <c:pt idx="26">
                  <c:v>92</c:v>
                </c:pt>
                <c:pt idx="27">
                  <c:v>94</c:v>
                </c:pt>
                <c:pt idx="28">
                  <c:v>96</c:v>
                </c:pt>
                <c:pt idx="29">
                  <c:v>98</c:v>
                </c:pt>
                <c:pt idx="30">
                  <c:v>100</c:v>
                </c:pt>
                <c:pt idx="31">
                  <c:v>102</c:v>
                </c:pt>
                <c:pt idx="32">
                  <c:v>104</c:v>
                </c:pt>
                <c:pt idx="33">
                  <c:v>106</c:v>
                </c:pt>
                <c:pt idx="34">
                  <c:v>108</c:v>
                </c:pt>
                <c:pt idx="35">
                  <c:v>110</c:v>
                </c:pt>
                <c:pt idx="36">
                  <c:v>112</c:v>
                </c:pt>
                <c:pt idx="37">
                  <c:v>114</c:v>
                </c:pt>
                <c:pt idx="38">
                  <c:v>116</c:v>
                </c:pt>
                <c:pt idx="39">
                  <c:v>118</c:v>
                </c:pt>
                <c:pt idx="40">
                  <c:v>120</c:v>
                </c:pt>
                <c:pt idx="41">
                  <c:v>122</c:v>
                </c:pt>
                <c:pt idx="42">
                  <c:v>124</c:v>
                </c:pt>
                <c:pt idx="43">
                  <c:v>126</c:v>
                </c:pt>
                <c:pt idx="44">
                  <c:v>128</c:v>
                </c:pt>
                <c:pt idx="45">
                  <c:v>130</c:v>
                </c:pt>
                <c:pt idx="46">
                  <c:v>132</c:v>
                </c:pt>
                <c:pt idx="47">
                  <c:v>134</c:v>
                </c:pt>
                <c:pt idx="48">
                  <c:v>136</c:v>
                </c:pt>
                <c:pt idx="49">
                  <c:v>138</c:v>
                </c:pt>
                <c:pt idx="50">
                  <c:v>140</c:v>
                </c:pt>
                <c:pt idx="51">
                  <c:v>142</c:v>
                </c:pt>
                <c:pt idx="52">
                  <c:v>144</c:v>
                </c:pt>
                <c:pt idx="53">
                  <c:v>146</c:v>
                </c:pt>
                <c:pt idx="54">
                  <c:v>148</c:v>
                </c:pt>
                <c:pt idx="55">
                  <c:v>150</c:v>
                </c:pt>
                <c:pt idx="56">
                  <c:v>152</c:v>
                </c:pt>
                <c:pt idx="57">
                  <c:v>154</c:v>
                </c:pt>
                <c:pt idx="58">
                  <c:v>156</c:v>
                </c:pt>
                <c:pt idx="59">
                  <c:v>158</c:v>
                </c:pt>
                <c:pt idx="60">
                  <c:v>160</c:v>
                </c:pt>
                <c:pt idx="61">
                  <c:v>162</c:v>
                </c:pt>
                <c:pt idx="62">
                  <c:v>164</c:v>
                </c:pt>
                <c:pt idx="63">
                  <c:v>166</c:v>
                </c:pt>
                <c:pt idx="64">
                  <c:v>168</c:v>
                </c:pt>
                <c:pt idx="65">
                  <c:v>170</c:v>
                </c:pt>
              </c:numCache>
            </c:numRef>
          </c:xVal>
          <c:yVal>
            <c:numRef>
              <c:f>'EM-Chart'!$R$92:$R$157</c:f>
              <c:numCache>
                <c:formatCode>General</c:formatCode>
                <c:ptCount val="66"/>
                <c:pt idx="0">
                  <c:v>3.8197186342054854</c:v>
                </c:pt>
                <c:pt idx="1">
                  <c:v>4.0107045659157645</c:v>
                </c:pt>
                <c:pt idx="2">
                  <c:v>4.2016904976260392</c:v>
                </c:pt>
                <c:pt idx="3">
                  <c:v>4.3926764293363112</c:v>
                </c:pt>
                <c:pt idx="4">
                  <c:v>4.583662361046585</c:v>
                </c:pt>
                <c:pt idx="5">
                  <c:v>4.7746482927568632</c:v>
                </c:pt>
                <c:pt idx="6">
                  <c:v>4.9656342244671379</c:v>
                </c:pt>
                <c:pt idx="7">
                  <c:v>5.156620156177409</c:v>
                </c:pt>
                <c:pt idx="8">
                  <c:v>5.3476060878876837</c:v>
                </c:pt>
                <c:pt idx="9">
                  <c:v>5.5385920195979566</c:v>
                </c:pt>
                <c:pt idx="10">
                  <c:v>5.7295779513082339</c:v>
                </c:pt>
                <c:pt idx="11">
                  <c:v>5.9205638830185068</c:v>
                </c:pt>
                <c:pt idx="12">
                  <c:v>6.1115498147287841</c:v>
                </c:pt>
                <c:pt idx="13">
                  <c:v>6.3025357464390552</c:v>
                </c:pt>
                <c:pt idx="14">
                  <c:v>6.4935216781493308</c:v>
                </c:pt>
                <c:pt idx="15">
                  <c:v>6.6845076098596055</c:v>
                </c:pt>
                <c:pt idx="16">
                  <c:v>6.8754935415698792</c:v>
                </c:pt>
                <c:pt idx="17">
                  <c:v>7.066479473280153</c:v>
                </c:pt>
                <c:pt idx="18">
                  <c:v>7.2574654049904304</c:v>
                </c:pt>
                <c:pt idx="19">
                  <c:v>7.4484513367007033</c:v>
                </c:pt>
                <c:pt idx="20">
                  <c:v>7.6394372684109735</c:v>
                </c:pt>
                <c:pt idx="21">
                  <c:v>7.8304232001212535</c:v>
                </c:pt>
                <c:pt idx="22">
                  <c:v>8.0214091318315237</c:v>
                </c:pt>
                <c:pt idx="23">
                  <c:v>8.2123950635418019</c:v>
                </c:pt>
                <c:pt idx="24">
                  <c:v>8.4033809952520748</c:v>
                </c:pt>
                <c:pt idx="25">
                  <c:v>8.5943669269623495</c:v>
                </c:pt>
                <c:pt idx="26">
                  <c:v>8.7853528586726242</c:v>
                </c:pt>
                <c:pt idx="27">
                  <c:v>8.9763387903828988</c:v>
                </c:pt>
                <c:pt idx="28">
                  <c:v>9.1673247220931735</c:v>
                </c:pt>
                <c:pt idx="29">
                  <c:v>9.3583106538034482</c:v>
                </c:pt>
                <c:pt idx="30">
                  <c:v>9.5492965855137211</c:v>
                </c:pt>
                <c:pt idx="31">
                  <c:v>9.7402825172239922</c:v>
                </c:pt>
                <c:pt idx="32">
                  <c:v>9.9312684489342722</c:v>
                </c:pt>
                <c:pt idx="33">
                  <c:v>10.122254380644547</c:v>
                </c:pt>
                <c:pt idx="34">
                  <c:v>10.31324031235482</c:v>
                </c:pt>
                <c:pt idx="35">
                  <c:v>10.504226244065093</c:v>
                </c:pt>
                <c:pt idx="36">
                  <c:v>10.695212175775367</c:v>
                </c:pt>
                <c:pt idx="37">
                  <c:v>10.886198107485644</c:v>
                </c:pt>
                <c:pt idx="38">
                  <c:v>11.077184039195915</c:v>
                </c:pt>
                <c:pt idx="39">
                  <c:v>11.26816997090619</c:v>
                </c:pt>
                <c:pt idx="40">
                  <c:v>11.459155902616466</c:v>
                </c:pt>
                <c:pt idx="41">
                  <c:v>11.650141834326741</c:v>
                </c:pt>
                <c:pt idx="42">
                  <c:v>11.841127766037014</c:v>
                </c:pt>
                <c:pt idx="43">
                  <c:v>12.032113697747288</c:v>
                </c:pt>
                <c:pt idx="44">
                  <c:v>12.223099629457563</c:v>
                </c:pt>
                <c:pt idx="45">
                  <c:v>12.414085561167841</c:v>
                </c:pt>
                <c:pt idx="46">
                  <c:v>12.60507149287811</c:v>
                </c:pt>
                <c:pt idx="47">
                  <c:v>12.796057424588387</c:v>
                </c:pt>
                <c:pt idx="48">
                  <c:v>12.98704335629866</c:v>
                </c:pt>
                <c:pt idx="49">
                  <c:v>13.178029288008934</c:v>
                </c:pt>
                <c:pt idx="50">
                  <c:v>13.369015219719211</c:v>
                </c:pt>
                <c:pt idx="51">
                  <c:v>13.560001151429484</c:v>
                </c:pt>
                <c:pt idx="52">
                  <c:v>13.75098708313976</c:v>
                </c:pt>
                <c:pt idx="53">
                  <c:v>13.941973014850033</c:v>
                </c:pt>
                <c:pt idx="54">
                  <c:v>14.132958946560308</c:v>
                </c:pt>
                <c:pt idx="55">
                  <c:v>14.323944878270584</c:v>
                </c:pt>
                <c:pt idx="56">
                  <c:v>14.514930809980861</c:v>
                </c:pt>
                <c:pt idx="57">
                  <c:v>14.705916741691135</c:v>
                </c:pt>
                <c:pt idx="58">
                  <c:v>14.89690267340141</c:v>
                </c:pt>
                <c:pt idx="59">
                  <c:v>15.087888605111681</c:v>
                </c:pt>
                <c:pt idx="60">
                  <c:v>15.278874536821954</c:v>
                </c:pt>
                <c:pt idx="61">
                  <c:v>15.469860468532231</c:v>
                </c:pt>
                <c:pt idx="62">
                  <c:v>15.660846400242503</c:v>
                </c:pt>
                <c:pt idx="63">
                  <c:v>15.851832331952776</c:v>
                </c:pt>
                <c:pt idx="64">
                  <c:v>16.042818263663047</c:v>
                </c:pt>
                <c:pt idx="65">
                  <c:v>16.233804195373327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733-4BB8-B11E-3D9EEE6E2677}"/>
            </c:ext>
          </c:extLst>
        </c:ser>
        <c:ser>
          <c:idx val="8"/>
          <c:order val="8"/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'EM-Chart'!$T$110:$T$167</c:f>
              <c:numCache>
                <c:formatCode>General</c:formatCode>
                <c:ptCount val="58"/>
                <c:pt idx="0">
                  <c:v>74</c:v>
                </c:pt>
                <c:pt idx="1">
                  <c:v>76</c:v>
                </c:pt>
                <c:pt idx="2">
                  <c:v>78</c:v>
                </c:pt>
                <c:pt idx="3">
                  <c:v>80</c:v>
                </c:pt>
                <c:pt idx="4">
                  <c:v>82</c:v>
                </c:pt>
                <c:pt idx="5">
                  <c:v>84</c:v>
                </c:pt>
                <c:pt idx="6">
                  <c:v>86</c:v>
                </c:pt>
                <c:pt idx="7">
                  <c:v>88</c:v>
                </c:pt>
                <c:pt idx="8">
                  <c:v>90</c:v>
                </c:pt>
                <c:pt idx="9">
                  <c:v>92</c:v>
                </c:pt>
                <c:pt idx="10">
                  <c:v>94</c:v>
                </c:pt>
                <c:pt idx="11">
                  <c:v>96</c:v>
                </c:pt>
                <c:pt idx="12">
                  <c:v>98</c:v>
                </c:pt>
                <c:pt idx="13">
                  <c:v>100</c:v>
                </c:pt>
                <c:pt idx="14">
                  <c:v>102</c:v>
                </c:pt>
                <c:pt idx="15">
                  <c:v>104</c:v>
                </c:pt>
                <c:pt idx="16">
                  <c:v>106</c:v>
                </c:pt>
                <c:pt idx="17">
                  <c:v>108</c:v>
                </c:pt>
                <c:pt idx="18">
                  <c:v>110</c:v>
                </c:pt>
                <c:pt idx="19">
                  <c:v>112</c:v>
                </c:pt>
                <c:pt idx="20">
                  <c:v>114</c:v>
                </c:pt>
                <c:pt idx="21">
                  <c:v>116</c:v>
                </c:pt>
                <c:pt idx="22">
                  <c:v>118</c:v>
                </c:pt>
                <c:pt idx="23">
                  <c:v>120</c:v>
                </c:pt>
                <c:pt idx="24">
                  <c:v>122</c:v>
                </c:pt>
                <c:pt idx="25">
                  <c:v>124</c:v>
                </c:pt>
                <c:pt idx="26">
                  <c:v>126</c:v>
                </c:pt>
                <c:pt idx="27">
                  <c:v>128</c:v>
                </c:pt>
                <c:pt idx="28">
                  <c:v>130</c:v>
                </c:pt>
                <c:pt idx="29">
                  <c:v>132</c:v>
                </c:pt>
                <c:pt idx="30">
                  <c:v>134</c:v>
                </c:pt>
                <c:pt idx="31">
                  <c:v>136</c:v>
                </c:pt>
                <c:pt idx="32">
                  <c:v>138</c:v>
                </c:pt>
                <c:pt idx="33">
                  <c:v>140</c:v>
                </c:pt>
                <c:pt idx="34">
                  <c:v>142</c:v>
                </c:pt>
                <c:pt idx="35">
                  <c:v>144</c:v>
                </c:pt>
                <c:pt idx="36">
                  <c:v>146</c:v>
                </c:pt>
                <c:pt idx="37">
                  <c:v>148</c:v>
                </c:pt>
                <c:pt idx="38">
                  <c:v>150</c:v>
                </c:pt>
                <c:pt idx="39">
                  <c:v>152</c:v>
                </c:pt>
                <c:pt idx="40">
                  <c:v>154</c:v>
                </c:pt>
                <c:pt idx="41">
                  <c:v>156</c:v>
                </c:pt>
                <c:pt idx="42">
                  <c:v>158</c:v>
                </c:pt>
                <c:pt idx="43">
                  <c:v>160</c:v>
                </c:pt>
                <c:pt idx="44">
                  <c:v>162</c:v>
                </c:pt>
                <c:pt idx="45">
                  <c:v>164</c:v>
                </c:pt>
                <c:pt idx="46">
                  <c:v>166</c:v>
                </c:pt>
                <c:pt idx="47">
                  <c:v>168</c:v>
                </c:pt>
                <c:pt idx="48">
                  <c:v>170</c:v>
                </c:pt>
                <c:pt idx="49">
                  <c:v>172</c:v>
                </c:pt>
                <c:pt idx="50">
                  <c:v>174</c:v>
                </c:pt>
                <c:pt idx="51">
                  <c:v>176</c:v>
                </c:pt>
                <c:pt idx="52">
                  <c:v>178</c:v>
                </c:pt>
                <c:pt idx="53">
                  <c:v>180</c:v>
                </c:pt>
                <c:pt idx="54">
                  <c:v>182</c:v>
                </c:pt>
                <c:pt idx="55">
                  <c:v>184</c:v>
                </c:pt>
                <c:pt idx="56">
                  <c:v>186</c:v>
                </c:pt>
                <c:pt idx="57">
                  <c:v>188</c:v>
                </c:pt>
              </c:numCache>
            </c:numRef>
          </c:xVal>
          <c:yVal>
            <c:numRef>
              <c:f>'EM-Chart'!$AC$110:$AC$167</c:f>
              <c:numCache>
                <c:formatCode>General</c:formatCode>
                <c:ptCount val="58"/>
                <c:pt idx="0">
                  <c:v>29.417485603345852</c:v>
                </c:pt>
                <c:pt idx="1">
                  <c:v>28.643341245363068</c:v>
                </c:pt>
                <c:pt idx="2">
                  <c:v>27.908896598046066</c:v>
                </c:pt>
                <c:pt idx="3">
                  <c:v>27.211174183094911</c:v>
                </c:pt>
                <c:pt idx="4">
                  <c:v>26.54748700789748</c:v>
                </c:pt>
                <c:pt idx="5">
                  <c:v>25.915403983899914</c:v>
                </c:pt>
                <c:pt idx="6">
                  <c:v>25.312720170320851</c:v>
                </c:pt>
                <c:pt idx="7">
                  <c:v>24.737431075540833</c:v>
                </c:pt>
                <c:pt idx="8">
                  <c:v>24.187710384973258</c:v>
                </c:pt>
                <c:pt idx="9">
                  <c:v>23.661890593995579</c:v>
                </c:pt>
                <c:pt idx="10">
                  <c:v>23.158446113272266</c:v>
                </c:pt>
                <c:pt idx="11">
                  <c:v>22.675978485912431</c:v>
                </c:pt>
                <c:pt idx="12">
                  <c:v>22.21320341477136</c:v>
                </c:pt>
                <c:pt idx="13">
                  <c:v>21.768939346475928</c:v>
                </c:pt>
                <c:pt idx="14">
                  <c:v>21.342097398505814</c:v>
                </c:pt>
                <c:pt idx="15">
                  <c:v>20.931672448534545</c:v>
                </c:pt>
                <c:pt idx="16">
                  <c:v>20.536735232524464</c:v>
                </c:pt>
                <c:pt idx="17">
                  <c:v>20.156425320811046</c:v>
                </c:pt>
                <c:pt idx="18">
                  <c:v>19.789944860432662</c:v>
                </c:pt>
                <c:pt idx="19">
                  <c:v>19.436552987924937</c:v>
                </c:pt>
                <c:pt idx="20">
                  <c:v>19.095560830242047</c:v>
                </c:pt>
                <c:pt idx="21">
                  <c:v>18.766327022824075</c:v>
                </c:pt>
                <c:pt idx="22">
                  <c:v>18.44825368345418</c:v>
                </c:pt>
                <c:pt idx="23">
                  <c:v>18.140782788729943</c:v>
                </c:pt>
                <c:pt idx="24">
                  <c:v>17.843392906947486</c:v>
                </c:pt>
                <c:pt idx="25">
                  <c:v>17.555596247158007</c:v>
                </c:pt>
                <c:pt idx="26">
                  <c:v>17.276935989266612</c:v>
                </c:pt>
                <c:pt idx="27">
                  <c:v>17.006983864434321</c:v>
                </c:pt>
                <c:pt idx="28">
                  <c:v>16.745337958827641</c:v>
                </c:pt>
                <c:pt idx="29">
                  <c:v>16.491620717027217</c:v>
                </c:pt>
                <c:pt idx="30">
                  <c:v>16.245477124235769</c:v>
                </c:pt>
                <c:pt idx="31">
                  <c:v>16.00657304887936</c:v>
                </c:pt>
                <c:pt idx="32">
                  <c:v>15.774593729330384</c:v>
                </c:pt>
                <c:pt idx="33">
                  <c:v>15.54924239033995</c:v>
                </c:pt>
                <c:pt idx="34">
                  <c:v>15.330238976391501</c:v>
                </c:pt>
                <c:pt idx="35">
                  <c:v>15.117318990608286</c:v>
                </c:pt>
                <c:pt idx="36">
                  <c:v>14.910232429093103</c:v>
                </c:pt>
                <c:pt idx="37">
                  <c:v>14.708742801672926</c:v>
                </c:pt>
                <c:pt idx="38">
                  <c:v>14.512626230983955</c:v>
                </c:pt>
                <c:pt idx="39">
                  <c:v>14.321670622681534</c:v>
                </c:pt>
                <c:pt idx="40">
                  <c:v>14.135674900309045</c:v>
                </c:pt>
                <c:pt idx="41">
                  <c:v>13.954448299023033</c:v>
                </c:pt>
                <c:pt idx="42">
                  <c:v>13.777809712959449</c:v>
                </c:pt>
                <c:pt idx="43">
                  <c:v>13.605587091547456</c:v>
                </c:pt>
                <c:pt idx="44">
                  <c:v>13.437616880540698</c:v>
                </c:pt>
                <c:pt idx="45">
                  <c:v>13.27374350394874</c:v>
                </c:pt>
                <c:pt idx="46">
                  <c:v>13.113818883419233</c:v>
                </c:pt>
                <c:pt idx="47">
                  <c:v>12.957701991949957</c:v>
                </c:pt>
                <c:pt idx="48">
                  <c:v>12.805258439103488</c:v>
                </c:pt>
                <c:pt idx="49">
                  <c:v>12.656360085160426</c:v>
                </c:pt>
                <c:pt idx="50">
                  <c:v>12.51088468188272</c:v>
                </c:pt>
                <c:pt idx="51">
                  <c:v>12.368715537770417</c:v>
                </c:pt>
                <c:pt idx="52">
                  <c:v>12.229741205885354</c:v>
                </c:pt>
                <c:pt idx="53">
                  <c:v>12.093855192486629</c:v>
                </c:pt>
                <c:pt idx="54">
                  <c:v>11.960955684876886</c:v>
                </c:pt>
                <c:pt idx="55">
                  <c:v>11.83094529699779</c:v>
                </c:pt>
                <c:pt idx="56">
                  <c:v>11.703730831438675</c:v>
                </c:pt>
                <c:pt idx="57">
                  <c:v>11.579223056636133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733-4BB8-B11E-3D9EEE6E2677}"/>
            </c:ext>
          </c:extLst>
        </c:ser>
        <c:ser>
          <c:idx val="9"/>
          <c:order val="9"/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'EM-Chart'!$T$92:$T$142</c:f>
              <c:numCache>
                <c:formatCode>General</c:formatCode>
                <c:ptCount val="51"/>
                <c:pt idx="0">
                  <c:v>38</c:v>
                </c:pt>
                <c:pt idx="1">
                  <c:v>40</c:v>
                </c:pt>
                <c:pt idx="2">
                  <c:v>42</c:v>
                </c:pt>
                <c:pt idx="3">
                  <c:v>44</c:v>
                </c:pt>
                <c:pt idx="4">
                  <c:v>46</c:v>
                </c:pt>
                <c:pt idx="5">
                  <c:v>48</c:v>
                </c:pt>
                <c:pt idx="6">
                  <c:v>50</c:v>
                </c:pt>
                <c:pt idx="7">
                  <c:v>52</c:v>
                </c:pt>
                <c:pt idx="8">
                  <c:v>54</c:v>
                </c:pt>
                <c:pt idx="9">
                  <c:v>56</c:v>
                </c:pt>
                <c:pt idx="10">
                  <c:v>58</c:v>
                </c:pt>
                <c:pt idx="11">
                  <c:v>60</c:v>
                </c:pt>
                <c:pt idx="12">
                  <c:v>62</c:v>
                </c:pt>
                <c:pt idx="13">
                  <c:v>64</c:v>
                </c:pt>
                <c:pt idx="14">
                  <c:v>66</c:v>
                </c:pt>
                <c:pt idx="15">
                  <c:v>68</c:v>
                </c:pt>
                <c:pt idx="16">
                  <c:v>70</c:v>
                </c:pt>
                <c:pt idx="17">
                  <c:v>72</c:v>
                </c:pt>
                <c:pt idx="18">
                  <c:v>74</c:v>
                </c:pt>
                <c:pt idx="19">
                  <c:v>76</c:v>
                </c:pt>
                <c:pt idx="20">
                  <c:v>78</c:v>
                </c:pt>
                <c:pt idx="21">
                  <c:v>80</c:v>
                </c:pt>
                <c:pt idx="22">
                  <c:v>82</c:v>
                </c:pt>
                <c:pt idx="23">
                  <c:v>84</c:v>
                </c:pt>
                <c:pt idx="24">
                  <c:v>86</c:v>
                </c:pt>
                <c:pt idx="25">
                  <c:v>88</c:v>
                </c:pt>
                <c:pt idx="26">
                  <c:v>90</c:v>
                </c:pt>
                <c:pt idx="27">
                  <c:v>92</c:v>
                </c:pt>
                <c:pt idx="28">
                  <c:v>94</c:v>
                </c:pt>
                <c:pt idx="29">
                  <c:v>96</c:v>
                </c:pt>
                <c:pt idx="30">
                  <c:v>98</c:v>
                </c:pt>
                <c:pt idx="31">
                  <c:v>100</c:v>
                </c:pt>
                <c:pt idx="32">
                  <c:v>102</c:v>
                </c:pt>
                <c:pt idx="33">
                  <c:v>104</c:v>
                </c:pt>
                <c:pt idx="34">
                  <c:v>106</c:v>
                </c:pt>
                <c:pt idx="35">
                  <c:v>108</c:v>
                </c:pt>
                <c:pt idx="36">
                  <c:v>110</c:v>
                </c:pt>
                <c:pt idx="37">
                  <c:v>112</c:v>
                </c:pt>
                <c:pt idx="38">
                  <c:v>114</c:v>
                </c:pt>
                <c:pt idx="39">
                  <c:v>116</c:v>
                </c:pt>
                <c:pt idx="40">
                  <c:v>118</c:v>
                </c:pt>
                <c:pt idx="41">
                  <c:v>120</c:v>
                </c:pt>
                <c:pt idx="42">
                  <c:v>122</c:v>
                </c:pt>
                <c:pt idx="43">
                  <c:v>124</c:v>
                </c:pt>
                <c:pt idx="44">
                  <c:v>126</c:v>
                </c:pt>
                <c:pt idx="45">
                  <c:v>128</c:v>
                </c:pt>
                <c:pt idx="46">
                  <c:v>130</c:v>
                </c:pt>
                <c:pt idx="47">
                  <c:v>132</c:v>
                </c:pt>
                <c:pt idx="48">
                  <c:v>134</c:v>
                </c:pt>
                <c:pt idx="49">
                  <c:v>136</c:v>
                </c:pt>
                <c:pt idx="50">
                  <c:v>138</c:v>
                </c:pt>
              </c:numCache>
            </c:numRef>
          </c:xVal>
          <c:yVal>
            <c:numRef>
              <c:f>'EM-Chart'!$AD$92:$AD$142</c:f>
              <c:numCache>
                <c:formatCode>General</c:formatCode>
                <c:ptCount val="51"/>
                <c:pt idx="0">
                  <c:v>5.4430990537428272</c:v>
                </c:pt>
                <c:pt idx="1">
                  <c:v>5.7295779513082321</c:v>
                </c:pt>
                <c:pt idx="2">
                  <c:v>6.016056848873645</c:v>
                </c:pt>
                <c:pt idx="3">
                  <c:v>6.3025357464390606</c:v>
                </c:pt>
                <c:pt idx="4">
                  <c:v>6.5890146440044655</c:v>
                </c:pt>
                <c:pt idx="5">
                  <c:v>6.8754935415698819</c:v>
                </c:pt>
                <c:pt idx="6">
                  <c:v>7.1619724391352912</c:v>
                </c:pt>
                <c:pt idx="7">
                  <c:v>7.4484513367006997</c:v>
                </c:pt>
                <c:pt idx="8">
                  <c:v>7.7349302342661126</c:v>
                </c:pt>
                <c:pt idx="9">
                  <c:v>8.0214091318315255</c:v>
                </c:pt>
                <c:pt idx="10">
                  <c:v>8.3078880293969366</c:v>
                </c:pt>
                <c:pt idx="11">
                  <c:v>8.5943669269623513</c:v>
                </c:pt>
                <c:pt idx="12">
                  <c:v>8.8808458245277624</c:v>
                </c:pt>
                <c:pt idx="13">
                  <c:v>9.1673247220931735</c:v>
                </c:pt>
                <c:pt idx="14">
                  <c:v>9.4538036196585828</c:v>
                </c:pt>
                <c:pt idx="15">
                  <c:v>9.7402825172239957</c:v>
                </c:pt>
                <c:pt idx="16">
                  <c:v>10.026761414789407</c:v>
                </c:pt>
                <c:pt idx="17">
                  <c:v>10.31324031235482</c:v>
                </c:pt>
                <c:pt idx="18">
                  <c:v>10.599719209920231</c:v>
                </c:pt>
                <c:pt idx="19">
                  <c:v>10.886198107485642</c:v>
                </c:pt>
                <c:pt idx="20">
                  <c:v>11.172677005051055</c:v>
                </c:pt>
                <c:pt idx="21">
                  <c:v>11.459155902616466</c:v>
                </c:pt>
                <c:pt idx="22">
                  <c:v>11.745634800181881</c:v>
                </c:pt>
                <c:pt idx="23">
                  <c:v>12.032113697747288</c:v>
                </c:pt>
                <c:pt idx="24">
                  <c:v>12.318592595312701</c:v>
                </c:pt>
                <c:pt idx="25">
                  <c:v>12.605071492878112</c:v>
                </c:pt>
                <c:pt idx="26">
                  <c:v>12.891550390443523</c:v>
                </c:pt>
                <c:pt idx="27">
                  <c:v>13.178029288008936</c:v>
                </c:pt>
                <c:pt idx="28">
                  <c:v>13.464508185574346</c:v>
                </c:pt>
                <c:pt idx="29">
                  <c:v>13.750987083139758</c:v>
                </c:pt>
                <c:pt idx="30">
                  <c:v>14.037465980705173</c:v>
                </c:pt>
                <c:pt idx="31">
                  <c:v>14.323944878270582</c:v>
                </c:pt>
                <c:pt idx="32">
                  <c:v>14.61042377583599</c:v>
                </c:pt>
                <c:pt idx="33">
                  <c:v>14.896902673401401</c:v>
                </c:pt>
                <c:pt idx="34">
                  <c:v>15.183381570966816</c:v>
                </c:pt>
                <c:pt idx="35">
                  <c:v>15.469860468532229</c:v>
                </c:pt>
                <c:pt idx="36">
                  <c:v>15.756339366097638</c:v>
                </c:pt>
                <c:pt idx="37">
                  <c:v>16.042818263663051</c:v>
                </c:pt>
                <c:pt idx="38">
                  <c:v>16.329297161228464</c:v>
                </c:pt>
                <c:pt idx="39">
                  <c:v>16.615776058793873</c:v>
                </c:pt>
                <c:pt idx="40">
                  <c:v>16.902254956359286</c:v>
                </c:pt>
                <c:pt idx="41">
                  <c:v>17.188733853924703</c:v>
                </c:pt>
                <c:pt idx="42">
                  <c:v>17.475212751490108</c:v>
                </c:pt>
                <c:pt idx="43">
                  <c:v>17.761691649055525</c:v>
                </c:pt>
                <c:pt idx="44">
                  <c:v>18.048170546620938</c:v>
                </c:pt>
                <c:pt idx="45">
                  <c:v>18.334649444186347</c:v>
                </c:pt>
                <c:pt idx="46">
                  <c:v>18.62112834175176</c:v>
                </c:pt>
                <c:pt idx="47">
                  <c:v>18.907607239317166</c:v>
                </c:pt>
                <c:pt idx="48">
                  <c:v>19.194086136882579</c:v>
                </c:pt>
                <c:pt idx="49">
                  <c:v>19.480565034447995</c:v>
                </c:pt>
                <c:pt idx="50">
                  <c:v>19.767043932013401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733-4BB8-B11E-3D9EEE6E2677}"/>
            </c:ext>
          </c:extLst>
        </c:ser>
        <c:ser>
          <c:idx val="10"/>
          <c:order val="1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'EM-Chart'!$AH$107:$AH$166</c:f>
              <c:numCache>
                <c:formatCode>General</c:formatCode>
                <c:ptCount val="60"/>
                <c:pt idx="0">
                  <c:v>82</c:v>
                </c:pt>
                <c:pt idx="1">
                  <c:v>84</c:v>
                </c:pt>
                <c:pt idx="2">
                  <c:v>86</c:v>
                </c:pt>
                <c:pt idx="3">
                  <c:v>88</c:v>
                </c:pt>
                <c:pt idx="4">
                  <c:v>90</c:v>
                </c:pt>
                <c:pt idx="5">
                  <c:v>92</c:v>
                </c:pt>
                <c:pt idx="6">
                  <c:v>94</c:v>
                </c:pt>
                <c:pt idx="7">
                  <c:v>96</c:v>
                </c:pt>
                <c:pt idx="8">
                  <c:v>98</c:v>
                </c:pt>
                <c:pt idx="9">
                  <c:v>100</c:v>
                </c:pt>
                <c:pt idx="10">
                  <c:v>102</c:v>
                </c:pt>
                <c:pt idx="11">
                  <c:v>104</c:v>
                </c:pt>
                <c:pt idx="12">
                  <c:v>106</c:v>
                </c:pt>
                <c:pt idx="13">
                  <c:v>108</c:v>
                </c:pt>
                <c:pt idx="14">
                  <c:v>110</c:v>
                </c:pt>
                <c:pt idx="15">
                  <c:v>112</c:v>
                </c:pt>
                <c:pt idx="16">
                  <c:v>114</c:v>
                </c:pt>
                <c:pt idx="17">
                  <c:v>116</c:v>
                </c:pt>
                <c:pt idx="18">
                  <c:v>118</c:v>
                </c:pt>
                <c:pt idx="19">
                  <c:v>120</c:v>
                </c:pt>
                <c:pt idx="20">
                  <c:v>122</c:v>
                </c:pt>
                <c:pt idx="21">
                  <c:v>124</c:v>
                </c:pt>
                <c:pt idx="22">
                  <c:v>126</c:v>
                </c:pt>
                <c:pt idx="23">
                  <c:v>128</c:v>
                </c:pt>
                <c:pt idx="24">
                  <c:v>130</c:v>
                </c:pt>
                <c:pt idx="25">
                  <c:v>132</c:v>
                </c:pt>
                <c:pt idx="26">
                  <c:v>134</c:v>
                </c:pt>
                <c:pt idx="27">
                  <c:v>136</c:v>
                </c:pt>
                <c:pt idx="28">
                  <c:v>138</c:v>
                </c:pt>
                <c:pt idx="29">
                  <c:v>140</c:v>
                </c:pt>
                <c:pt idx="30">
                  <c:v>142</c:v>
                </c:pt>
                <c:pt idx="31">
                  <c:v>144</c:v>
                </c:pt>
                <c:pt idx="32">
                  <c:v>146</c:v>
                </c:pt>
                <c:pt idx="33">
                  <c:v>148</c:v>
                </c:pt>
                <c:pt idx="34">
                  <c:v>150</c:v>
                </c:pt>
                <c:pt idx="35">
                  <c:v>152</c:v>
                </c:pt>
                <c:pt idx="36">
                  <c:v>154</c:v>
                </c:pt>
                <c:pt idx="37">
                  <c:v>156</c:v>
                </c:pt>
                <c:pt idx="38">
                  <c:v>158</c:v>
                </c:pt>
                <c:pt idx="39">
                  <c:v>160</c:v>
                </c:pt>
                <c:pt idx="40">
                  <c:v>162</c:v>
                </c:pt>
                <c:pt idx="41">
                  <c:v>164</c:v>
                </c:pt>
                <c:pt idx="42">
                  <c:v>166</c:v>
                </c:pt>
                <c:pt idx="43">
                  <c:v>168</c:v>
                </c:pt>
                <c:pt idx="44">
                  <c:v>170</c:v>
                </c:pt>
                <c:pt idx="45">
                  <c:v>172</c:v>
                </c:pt>
                <c:pt idx="46">
                  <c:v>174</c:v>
                </c:pt>
                <c:pt idx="47">
                  <c:v>176</c:v>
                </c:pt>
                <c:pt idx="48">
                  <c:v>178</c:v>
                </c:pt>
                <c:pt idx="49">
                  <c:v>180</c:v>
                </c:pt>
                <c:pt idx="50">
                  <c:v>182</c:v>
                </c:pt>
                <c:pt idx="51">
                  <c:v>184</c:v>
                </c:pt>
                <c:pt idx="52">
                  <c:v>186</c:v>
                </c:pt>
                <c:pt idx="53">
                  <c:v>188</c:v>
                </c:pt>
                <c:pt idx="54">
                  <c:v>190</c:v>
                </c:pt>
                <c:pt idx="55">
                  <c:v>192</c:v>
                </c:pt>
                <c:pt idx="56">
                  <c:v>194</c:v>
                </c:pt>
                <c:pt idx="57">
                  <c:v>196</c:v>
                </c:pt>
                <c:pt idx="58">
                  <c:v>198</c:v>
                </c:pt>
                <c:pt idx="59">
                  <c:v>200</c:v>
                </c:pt>
              </c:numCache>
            </c:numRef>
          </c:xVal>
          <c:yVal>
            <c:numRef>
              <c:f>'EM-Chart'!$AQ$107:$AQ$177</c:f>
              <c:numCache>
                <c:formatCode>General</c:formatCode>
                <c:ptCount val="71"/>
                <c:pt idx="0">
                  <c:v>33.580210039473791</c:v>
                </c:pt>
                <c:pt idx="1">
                  <c:v>32.780681229010121</c:v>
                </c:pt>
                <c:pt idx="2">
                  <c:v>32.018339805079663</c:v>
                </c:pt>
                <c:pt idx="3">
                  <c:v>31.290650264055124</c:v>
                </c:pt>
                <c:pt idx="4">
                  <c:v>30.595302480409451</c:v>
                </c:pt>
                <c:pt idx="5">
                  <c:v>29.930187209096207</c:v>
                </c:pt>
                <c:pt idx="6">
                  <c:v>29.293374715285644</c:v>
                </c:pt>
                <c:pt idx="7">
                  <c:v>28.683096075383862</c:v>
                </c:pt>
                <c:pt idx="8">
                  <c:v>28.097726767722971</c:v>
                </c:pt>
                <c:pt idx="9">
                  <c:v>27.535772232368505</c:v>
                </c:pt>
                <c:pt idx="10">
                  <c:v>26.995855129773044</c:v>
                </c:pt>
                <c:pt idx="11">
                  <c:v>26.4767040695851</c:v>
                </c:pt>
                <c:pt idx="12">
                  <c:v>25.977143615441985</c:v>
                </c:pt>
                <c:pt idx="13">
                  <c:v>25.496085400341208</c:v>
                </c:pt>
                <c:pt idx="14">
                  <c:v>25.032520211244094</c:v>
                </c:pt>
                <c:pt idx="15">
                  <c:v>24.585510921757596</c:v>
                </c:pt>
                <c:pt idx="16">
                  <c:v>24.154186168744307</c:v>
                </c:pt>
                <c:pt idx="17">
                  <c:v>23.737734683076297</c:v>
                </c:pt>
                <c:pt idx="18">
                  <c:v>23.335400196922464</c:v>
                </c:pt>
                <c:pt idx="19">
                  <c:v>22.94647686030709</c:v>
                </c:pt>
                <c:pt idx="20">
                  <c:v>22.570305108498776</c:v>
                </c:pt>
                <c:pt idx="21">
                  <c:v>22.206267929329439</c:v>
                </c:pt>
                <c:pt idx="22">
                  <c:v>21.853787486006752</c:v>
                </c:pt>
                <c:pt idx="23">
                  <c:v>21.512322056537894</c:v>
                </c:pt>
                <c:pt idx="24">
                  <c:v>21.181363255668085</c:v>
                </c:pt>
                <c:pt idx="25">
                  <c:v>20.860433509370079</c:v>
                </c:pt>
                <c:pt idx="26">
                  <c:v>20.549083755498884</c:v>
                </c:pt>
                <c:pt idx="27">
                  <c:v>20.246891347329782</c:v>
                </c:pt>
                <c:pt idx="28">
                  <c:v>19.953458139397469</c:v>
                </c:pt>
                <c:pt idx="29">
                  <c:v>19.668408737406075</c:v>
                </c:pt>
                <c:pt idx="30">
                  <c:v>19.391388896034158</c:v>
                </c:pt>
                <c:pt idx="31">
                  <c:v>19.122064050255908</c:v>
                </c:pt>
                <c:pt idx="32">
                  <c:v>18.86011796737569</c:v>
                </c:pt>
                <c:pt idx="33">
                  <c:v>18.6052515083571</c:v>
                </c:pt>
                <c:pt idx="34">
                  <c:v>18.357181488245672</c:v>
                </c:pt>
                <c:pt idx="35">
                  <c:v>18.115639626558231</c:v>
                </c:pt>
                <c:pt idx="36">
                  <c:v>17.880371579460068</c:v>
                </c:pt>
                <c:pt idx="37">
                  <c:v>17.651136046390068</c:v>
                </c:pt>
                <c:pt idx="38">
                  <c:v>17.427703944537029</c:v>
                </c:pt>
                <c:pt idx="39">
                  <c:v>17.209857645230315</c:v>
                </c:pt>
                <c:pt idx="40">
                  <c:v>16.99739026689414</c:v>
                </c:pt>
                <c:pt idx="41">
                  <c:v>16.790105019736895</c:v>
                </c:pt>
                <c:pt idx="42">
                  <c:v>16.587814597812351</c:v>
                </c:pt>
                <c:pt idx="43">
                  <c:v>16.39034061450506</c:v>
                </c:pt>
                <c:pt idx="44">
                  <c:v>16.197513077863825</c:v>
                </c:pt>
                <c:pt idx="45">
                  <c:v>16.009169902539831</c:v>
                </c:pt>
                <c:pt idx="46">
                  <c:v>15.825156455384201</c:v>
                </c:pt>
                <c:pt idx="47">
                  <c:v>15.645325132027562</c:v>
                </c:pt>
                <c:pt idx="48">
                  <c:v>15.469534962004778</c:v>
                </c:pt>
                <c:pt idx="49">
                  <c:v>15.297651240204726</c:v>
                </c:pt>
                <c:pt idx="50">
                  <c:v>15.12954518262006</c:v>
                </c:pt>
                <c:pt idx="51">
                  <c:v>14.965093604548104</c:v>
                </c:pt>
                <c:pt idx="52">
                  <c:v>14.804178619552962</c:v>
                </c:pt>
                <c:pt idx="53">
                  <c:v>14.646687357642822</c:v>
                </c:pt>
                <c:pt idx="54">
                  <c:v>14.492511701246581</c:v>
                </c:pt>
                <c:pt idx="55">
                  <c:v>14.341548037691931</c:v>
                </c:pt>
                <c:pt idx="56">
                  <c:v>14.193697026994077</c:v>
                </c:pt>
                <c:pt idx="57">
                  <c:v>14.048863383861486</c:v>
                </c:pt>
                <c:pt idx="58">
                  <c:v>13.906955672913385</c:v>
                </c:pt>
                <c:pt idx="59">
                  <c:v>13.767886116184252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733-4BB8-B11E-3D9EEE6E2677}"/>
            </c:ext>
          </c:extLst>
        </c:ser>
        <c:ser>
          <c:idx val="15"/>
          <c:order val="1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'EM-Chart'!$A$70:$A$77</c:f>
              <c:numCache>
                <c:formatCode>General</c:formatCode>
                <c:ptCount val="8"/>
                <c:pt idx="0">
                  <c:v>40</c:v>
                </c:pt>
                <c:pt idx="1">
                  <c:v>50</c:v>
                </c:pt>
                <c:pt idx="2">
                  <c:v>76</c:v>
                </c:pt>
                <c:pt idx="3">
                  <c:v>98</c:v>
                </c:pt>
                <c:pt idx="4">
                  <c:v>116</c:v>
                </c:pt>
                <c:pt idx="5">
                  <c:v>126</c:v>
                </c:pt>
                <c:pt idx="6">
                  <c:v>130</c:v>
                </c:pt>
                <c:pt idx="7">
                  <c:v>135</c:v>
                </c:pt>
              </c:numCache>
            </c:numRef>
          </c:xVal>
          <c:yVal>
            <c:numRef>
              <c:f>'EM-Chart'!$B$70:$B$77</c:f>
              <c:numCache>
                <c:formatCode>General</c:formatCode>
                <c:ptCount val="8"/>
                <c:pt idx="0">
                  <c:v>7</c:v>
                </c:pt>
                <c:pt idx="1">
                  <c:v>8.5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733-4BB8-B11E-3D9EEE6E2677}"/>
            </c:ext>
          </c:extLst>
        </c:ser>
        <c:ser>
          <c:idx val="12"/>
          <c:order val="12"/>
          <c:tx>
            <c:v>SEP = 2000 ft/min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'EM-Chart'!$A$57:$A$65</c:f>
              <c:numCache>
                <c:formatCode>General</c:formatCode>
                <c:ptCount val="9"/>
                <c:pt idx="0">
                  <c:v>81</c:v>
                </c:pt>
                <c:pt idx="1">
                  <c:v>86</c:v>
                </c:pt>
                <c:pt idx="2">
                  <c:v>91</c:v>
                </c:pt>
                <c:pt idx="3">
                  <c:v>96</c:v>
                </c:pt>
                <c:pt idx="4">
                  <c:v>101</c:v>
                </c:pt>
                <c:pt idx="5">
                  <c:v>106</c:v>
                </c:pt>
                <c:pt idx="6">
                  <c:v>111</c:v>
                </c:pt>
                <c:pt idx="7">
                  <c:v>116</c:v>
                </c:pt>
                <c:pt idx="8">
                  <c:v>121</c:v>
                </c:pt>
              </c:numCache>
            </c:numRef>
          </c:xVal>
          <c:yVal>
            <c:numRef>
              <c:f>'EM-Chart'!$B$57:$B$65</c:f>
              <c:numCache>
                <c:formatCode>General</c:formatCode>
                <c:ptCount val="9"/>
                <c:pt idx="0">
                  <c:v>-9.8099999999988086E-2</c:v>
                </c:pt>
                <c:pt idx="1">
                  <c:v>1.8924000000000234</c:v>
                </c:pt>
                <c:pt idx="2">
                  <c:v>3.3179000000000087</c:v>
                </c:pt>
                <c:pt idx="3">
                  <c:v>4.1784000000000248</c:v>
                </c:pt>
                <c:pt idx="4">
                  <c:v>4.4739000000000146</c:v>
                </c:pt>
                <c:pt idx="5">
                  <c:v>4.2044000000000068</c:v>
                </c:pt>
                <c:pt idx="6">
                  <c:v>3.3699000000000296</c:v>
                </c:pt>
                <c:pt idx="7">
                  <c:v>1.9704000000000406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733-4BB8-B11E-3D9EEE6E2677}"/>
            </c:ext>
          </c:extLst>
        </c:ser>
        <c:ser>
          <c:idx val="13"/>
          <c:order val="13"/>
          <c:tx>
            <c:v>SEP = 0 ft/min - Post Mod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'EM-Chart'!$A$159:$A$168</c:f>
              <c:numCache>
                <c:formatCode>General</c:formatCode>
                <c:ptCount val="10"/>
                <c:pt idx="0">
                  <c:v>47</c:v>
                </c:pt>
                <c:pt idx="1">
                  <c:v>81.81</c:v>
                </c:pt>
                <c:pt idx="2">
                  <c:v>90.9</c:v>
                </c:pt>
                <c:pt idx="3">
                  <c:v>99.99</c:v>
                </c:pt>
                <c:pt idx="4">
                  <c:v>109.08</c:v>
                </c:pt>
                <c:pt idx="5">
                  <c:v>118.17</c:v>
                </c:pt>
                <c:pt idx="6">
                  <c:v>127.26</c:v>
                </c:pt>
                <c:pt idx="7">
                  <c:v>136.35</c:v>
                </c:pt>
                <c:pt idx="8">
                  <c:v>145.44</c:v>
                </c:pt>
                <c:pt idx="9">
                  <c:v>156.55000000000001</c:v>
                </c:pt>
              </c:numCache>
            </c:numRef>
          </c:xVal>
          <c:yVal>
            <c:numRef>
              <c:f>'EM-Chart'!$B$159:$B$168</c:f>
              <c:numCache>
                <c:formatCode>General</c:formatCode>
                <c:ptCount val="10"/>
                <c:pt idx="0">
                  <c:v>14.701599999999999</c:v>
                </c:pt>
                <c:pt idx="1">
                  <c:v>15.3523</c:v>
                </c:pt>
                <c:pt idx="2">
                  <c:v>15.516999999999999</c:v>
                </c:pt>
                <c:pt idx="3">
                  <c:v>15.195699999999999</c:v>
                </c:pt>
                <c:pt idx="4">
                  <c:v>14.388400000000004</c:v>
                </c:pt>
                <c:pt idx="5">
                  <c:v>13.095100000000002</c:v>
                </c:pt>
                <c:pt idx="6">
                  <c:v>11.315799999999996</c:v>
                </c:pt>
                <c:pt idx="7">
                  <c:v>9.0504999999999924</c:v>
                </c:pt>
                <c:pt idx="8">
                  <c:v>6.299199999999999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733-4BB8-B11E-3D9EEE6E2677}"/>
            </c:ext>
          </c:extLst>
        </c:ser>
        <c:ser>
          <c:idx val="11"/>
          <c:order val="14"/>
          <c:tx>
            <c:v>-300 ft/min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'EM-Chart'!$A$173:$A$182</c:f>
              <c:numCache>
                <c:formatCode>General</c:formatCode>
                <c:ptCount val="10"/>
                <c:pt idx="0">
                  <c:v>58</c:v>
                </c:pt>
                <c:pt idx="1">
                  <c:v>89.991000000000014</c:v>
                </c:pt>
                <c:pt idx="2">
                  <c:v>99.990000000000009</c:v>
                </c:pt>
                <c:pt idx="3">
                  <c:v>109.989</c:v>
                </c:pt>
                <c:pt idx="4">
                  <c:v>119.98800000000001</c:v>
                </c:pt>
                <c:pt idx="5">
                  <c:v>129.98700000000002</c:v>
                </c:pt>
                <c:pt idx="6">
                  <c:v>139.98600000000002</c:v>
                </c:pt>
                <c:pt idx="7">
                  <c:v>149.98500000000001</c:v>
                </c:pt>
                <c:pt idx="8">
                  <c:v>159.98400000000001</c:v>
                </c:pt>
                <c:pt idx="9">
                  <c:v>172.20500000000001</c:v>
                </c:pt>
              </c:numCache>
            </c:numRef>
          </c:xVal>
          <c:yVal>
            <c:numRef>
              <c:f>'EM-Chart'!$B$173:$B$182</c:f>
              <c:numCache>
                <c:formatCode>General</c:formatCode>
                <c:ptCount val="10"/>
                <c:pt idx="0">
                  <c:v>22.052399999999999</c:v>
                </c:pt>
                <c:pt idx="1">
                  <c:v>23.028449999999999</c:v>
                </c:pt>
                <c:pt idx="2">
                  <c:v>23.275500000000001</c:v>
                </c:pt>
                <c:pt idx="3">
                  <c:v>22.793549999999996</c:v>
                </c:pt>
                <c:pt idx="4">
                  <c:v>21.582600000000006</c:v>
                </c:pt>
                <c:pt idx="5">
                  <c:v>19.642650000000003</c:v>
                </c:pt>
                <c:pt idx="6">
                  <c:v>16.973699999999994</c:v>
                </c:pt>
                <c:pt idx="7">
                  <c:v>13.575749999999989</c:v>
                </c:pt>
                <c:pt idx="8">
                  <c:v>9.4487999999999985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D733-4BB8-B11E-3D9EEE6E2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050223"/>
        <c:axId val="889049743"/>
      </c:scatterChart>
      <c:valAx>
        <c:axId val="88905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Velocity [m/s]</a:t>
                </a:r>
              </a:p>
            </c:rich>
          </c:tx>
          <c:layout>
            <c:manualLayout>
              <c:xMode val="edge"/>
              <c:yMode val="edge"/>
              <c:x val="0.45341447944006996"/>
              <c:y val="0.89936468473619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ZA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9049743"/>
        <c:crosses val="autoZero"/>
        <c:crossBetween val="midCat"/>
      </c:valAx>
      <c:valAx>
        <c:axId val="889049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ZA"/>
                  <a:t>Turn Rate [deg/s]</a:t>
                </a:r>
              </a:p>
            </c:rich>
          </c:tx>
          <c:layout>
            <c:manualLayout>
              <c:xMode val="edge"/>
              <c:yMode val="edge"/>
              <c:x val="6.9885413029847646E-2"/>
              <c:y val="0.33961487076781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905022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723900</xdr:colOff>
      <xdr:row>162</xdr:row>
      <xdr:rowOff>66675</xdr:rowOff>
    </xdr:from>
    <xdr:to>
      <xdr:col>17</xdr:col>
      <xdr:colOff>408225</xdr:colOff>
      <xdr:row>190</xdr:row>
      <xdr:rowOff>85050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F0C84-2DDF-4A68-BFB9-CA4EDBB69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0.62647</cdr:x>
      <cdr:y>0.25943</cdr:y>
    </cdr:from>
    <cdr:to>
      <cdr:x>0.67663</cdr:x>
      <cdr:y>0.29807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C3459BB-A31F-B435-03AE-0657FC7CD84C}"/>
            </a:ext>
          </a:extLst>
        </cdr:cNvPr>
        <cdr:cNvSpPr txBox="1"/>
      </cdr:nvSpPr>
      <cdr:spPr>
        <a:xfrm xmlns:a="http://schemas.openxmlformats.org/drawingml/2006/main">
          <a:off x="5591175" y="1343025"/>
          <a:ext cx="447675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ZA" sz="1100" kern="1200"/>
        </a:p>
      </cdr:txBody>
    </cdr:sp>
  </cdr:relSizeAnchor>
  <cdr:relSizeAnchor xmlns:cdr="http://schemas.openxmlformats.org/drawingml/2006/chartDrawing">
    <cdr:from>
      <cdr:x>0.44236</cdr:x>
      <cdr:y>0.20504</cdr:y>
    </cdr:from>
    <cdr:to>
      <cdr:x>0.4888</cdr:x>
      <cdr:y>0.25852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A009CDF-9A3C-1087-A9A6-4F9212A34C78}"/>
            </a:ext>
          </a:extLst>
        </cdr:cNvPr>
        <cdr:cNvSpPr txBox="1"/>
      </cdr:nvSpPr>
      <cdr:spPr>
        <a:xfrm xmlns:a="http://schemas.openxmlformats.org/drawingml/2006/main" rot="1451843">
          <a:off x="5089305" y="1107214"/>
          <a:ext cx="534285" cy="288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1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5 g</a:t>
          </a:r>
        </a:p>
      </cdr:txBody>
    </cdr:sp>
  </cdr:relSizeAnchor>
  <cdr:relSizeAnchor xmlns:cdr="http://schemas.openxmlformats.org/drawingml/2006/chartDrawing">
    <cdr:from>
      <cdr:x>0.57338</cdr:x>
      <cdr:y>0.41801</cdr:y>
    </cdr:from>
    <cdr:to>
      <cdr:x>0.62326</cdr:x>
      <cdr:y>0.47148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9D6B5B10-6F15-0A54-A497-38B42268CAC0}"/>
            </a:ext>
          </a:extLst>
        </cdr:cNvPr>
        <cdr:cNvSpPr txBox="1"/>
      </cdr:nvSpPr>
      <cdr:spPr>
        <a:xfrm xmlns:a="http://schemas.openxmlformats.org/drawingml/2006/main" rot="2030227">
          <a:off x="6596659" y="2257230"/>
          <a:ext cx="573862" cy="2887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4 g</a:t>
          </a:r>
        </a:p>
      </cdr:txBody>
    </cdr:sp>
  </cdr:relSizeAnchor>
  <cdr:relSizeAnchor xmlns:cdr="http://schemas.openxmlformats.org/drawingml/2006/chartDrawing">
    <cdr:from>
      <cdr:x>0.52643</cdr:x>
      <cdr:y>0.4826</cdr:y>
    </cdr:from>
    <cdr:to>
      <cdr:x>0.58107</cdr:x>
      <cdr:y>0.53607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D6B5B10-6F15-0A54-A497-38B42268CAC0}"/>
            </a:ext>
          </a:extLst>
        </cdr:cNvPr>
        <cdr:cNvSpPr txBox="1"/>
      </cdr:nvSpPr>
      <cdr:spPr>
        <a:xfrm xmlns:a="http://schemas.openxmlformats.org/drawingml/2006/main" rot="1451843">
          <a:off x="6056469" y="2606038"/>
          <a:ext cx="628625" cy="2887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3 g</a:t>
          </a:r>
        </a:p>
      </cdr:txBody>
    </cdr:sp>
  </cdr:relSizeAnchor>
  <cdr:relSizeAnchor xmlns:cdr="http://schemas.openxmlformats.org/drawingml/2006/chartDrawing">
    <cdr:from>
      <cdr:x>0.66926</cdr:x>
      <cdr:y>0.59566</cdr:y>
    </cdr:from>
    <cdr:to>
      <cdr:x>0.71711</cdr:x>
      <cdr:y>0.64913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9D6B5B10-6F15-0A54-A497-38B42268CAC0}"/>
            </a:ext>
          </a:extLst>
        </cdr:cNvPr>
        <cdr:cNvSpPr txBox="1"/>
      </cdr:nvSpPr>
      <cdr:spPr>
        <a:xfrm xmlns:a="http://schemas.openxmlformats.org/drawingml/2006/main" rot="495509">
          <a:off x="7699684" y="3216588"/>
          <a:ext cx="550507" cy="2887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2 g</a:t>
          </a:r>
        </a:p>
      </cdr:txBody>
    </cdr:sp>
  </cdr:relSizeAnchor>
  <cdr:relSizeAnchor xmlns:cdr="http://schemas.openxmlformats.org/drawingml/2006/chartDrawing">
    <cdr:from>
      <cdr:x>0.67415</cdr:x>
      <cdr:y>0.64417</cdr:y>
    </cdr:from>
    <cdr:to>
      <cdr:x>0.7337</cdr:x>
      <cdr:y>0.69765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D6B5B10-6F15-0A54-A497-38B42268CAC0}"/>
            </a:ext>
          </a:extLst>
        </cdr:cNvPr>
        <cdr:cNvSpPr txBox="1"/>
      </cdr:nvSpPr>
      <cdr:spPr>
        <a:xfrm xmlns:a="http://schemas.openxmlformats.org/drawingml/2006/main" rot="288492">
          <a:off x="7755996" y="3478492"/>
          <a:ext cx="685114" cy="288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1.5</a:t>
          </a:r>
          <a:r>
            <a:rPr lang="en-ZA" sz="110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ZA" sz="11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g</a:t>
          </a:r>
        </a:p>
      </cdr:txBody>
    </cdr:sp>
  </cdr:relSizeAnchor>
  <cdr:relSizeAnchor xmlns:cdr="http://schemas.openxmlformats.org/drawingml/2006/chartDrawing">
    <cdr:from>
      <cdr:x>0.46077</cdr:x>
      <cdr:y>0.40776</cdr:y>
    </cdr:from>
    <cdr:to>
      <cdr:x>0.5498</cdr:x>
      <cdr:y>0.46124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CE9D9A50-8E6C-CAD9-CA49-C766EA00D57D}"/>
            </a:ext>
          </a:extLst>
        </cdr:cNvPr>
        <cdr:cNvSpPr txBox="1"/>
      </cdr:nvSpPr>
      <cdr:spPr>
        <a:xfrm xmlns:a="http://schemas.openxmlformats.org/drawingml/2006/main" rot="20312386">
          <a:off x="5301066" y="2201916"/>
          <a:ext cx="1024277" cy="288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R = 250 m</a:t>
          </a:r>
        </a:p>
      </cdr:txBody>
    </cdr:sp>
  </cdr:relSizeAnchor>
  <cdr:relSizeAnchor xmlns:cdr="http://schemas.openxmlformats.org/drawingml/2006/chartDrawing">
    <cdr:from>
      <cdr:x>0.46376</cdr:x>
      <cdr:y>0.51379</cdr:y>
    </cdr:from>
    <cdr:to>
      <cdr:x>0.55279</cdr:x>
      <cdr:y>0.56726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274D5031-2E08-4382-2FBC-EE23B79C07B8}"/>
            </a:ext>
          </a:extLst>
        </cdr:cNvPr>
        <cdr:cNvSpPr txBox="1"/>
      </cdr:nvSpPr>
      <cdr:spPr>
        <a:xfrm xmlns:a="http://schemas.openxmlformats.org/drawingml/2006/main" rot="20836249">
          <a:off x="5335465" y="2774439"/>
          <a:ext cx="1024276" cy="2887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R = 500 m</a:t>
          </a:r>
        </a:p>
      </cdr:txBody>
    </cdr:sp>
  </cdr:relSizeAnchor>
  <cdr:relSizeAnchor xmlns:cdr="http://schemas.openxmlformats.org/drawingml/2006/chartDrawing">
    <cdr:from>
      <cdr:x>0.60625</cdr:x>
      <cdr:y>0.49214</cdr:y>
    </cdr:from>
    <cdr:to>
      <cdr:x>0.69529</cdr:x>
      <cdr:y>0.54561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274D5031-2E08-4382-2FBC-EE23B79C07B8}"/>
            </a:ext>
          </a:extLst>
        </cdr:cNvPr>
        <cdr:cNvSpPr txBox="1"/>
      </cdr:nvSpPr>
      <cdr:spPr>
        <a:xfrm xmlns:a="http://schemas.openxmlformats.org/drawingml/2006/main" rot="20671200">
          <a:off x="6974847" y="2657529"/>
          <a:ext cx="1024392" cy="2887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R = 700 m</a:t>
          </a:r>
        </a:p>
      </cdr:txBody>
    </cdr:sp>
  </cdr:relSizeAnchor>
  <cdr:relSizeAnchor xmlns:cdr="http://schemas.openxmlformats.org/drawingml/2006/chartDrawing">
    <cdr:from>
      <cdr:x>0.66094</cdr:x>
      <cdr:y>0.52255</cdr:y>
    </cdr:from>
    <cdr:to>
      <cdr:x>0.76095</cdr:x>
      <cdr:y>0.57602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274D5031-2E08-4382-2FBC-EE23B79C07B8}"/>
            </a:ext>
          </a:extLst>
        </cdr:cNvPr>
        <cdr:cNvSpPr txBox="1"/>
      </cdr:nvSpPr>
      <cdr:spPr>
        <a:xfrm xmlns:a="http://schemas.openxmlformats.org/drawingml/2006/main" rot="20839016">
          <a:off x="7603993" y="2821785"/>
          <a:ext cx="1150600" cy="2887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R = 1500 m</a:t>
          </a:r>
        </a:p>
      </cdr:txBody>
    </cdr:sp>
  </cdr:relSizeAnchor>
  <cdr:relSizeAnchor xmlns:cdr="http://schemas.openxmlformats.org/drawingml/2006/chartDrawing">
    <cdr:from>
      <cdr:x>0.46422</cdr:x>
      <cdr:y>0.70732</cdr:y>
    </cdr:from>
    <cdr:to>
      <cdr:x>0.62189</cdr:x>
      <cdr:y>0.76079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8F39D82B-DE5A-D1D4-BCA3-7ADFC1C23D51}"/>
            </a:ext>
          </a:extLst>
        </cdr:cNvPr>
        <cdr:cNvSpPr txBox="1"/>
      </cdr:nvSpPr>
      <cdr:spPr>
        <a:xfrm xmlns:a="http://schemas.openxmlformats.org/drawingml/2006/main" rot="1783875">
          <a:off x="5340833" y="3819519"/>
          <a:ext cx="1813970" cy="2887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900" b="1" kern="1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SEP = 2500 ft/min</a:t>
          </a:r>
        </a:p>
      </cdr:txBody>
    </cdr:sp>
  </cdr:relSizeAnchor>
  <cdr:relSizeAnchor xmlns:cdr="http://schemas.openxmlformats.org/drawingml/2006/chartDrawing">
    <cdr:from>
      <cdr:x>0.27113</cdr:x>
      <cdr:y>0.52349</cdr:y>
    </cdr:from>
    <cdr:to>
      <cdr:x>0.39872</cdr:x>
      <cdr:y>0.58955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258F5448-CBC3-65F9-97F6-0FA8324DB49D}"/>
            </a:ext>
          </a:extLst>
        </cdr:cNvPr>
        <cdr:cNvSpPr txBox="1"/>
      </cdr:nvSpPr>
      <cdr:spPr>
        <a:xfrm xmlns:a="http://schemas.openxmlformats.org/drawingml/2006/main" rot="20615874">
          <a:off x="3119311" y="2826823"/>
          <a:ext cx="1467882" cy="3567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SEP = 1500 ft/min</a:t>
          </a:r>
        </a:p>
      </cdr:txBody>
    </cdr:sp>
  </cdr:relSizeAnchor>
  <cdr:relSizeAnchor xmlns:cdr="http://schemas.openxmlformats.org/drawingml/2006/chartDrawing">
    <cdr:from>
      <cdr:x>0.62578</cdr:x>
      <cdr:y>0.59062</cdr:y>
    </cdr:from>
    <cdr:to>
      <cdr:x>0.6568</cdr:x>
      <cdr:y>0.86245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B1048F98-5333-BD94-B34B-688BB16F7583}"/>
            </a:ext>
          </a:extLst>
        </cdr:cNvPr>
        <cdr:cNvSpPr txBox="1"/>
      </cdr:nvSpPr>
      <cdr:spPr>
        <a:xfrm xmlns:a="http://schemas.openxmlformats.org/drawingml/2006/main" rot="3594797">
          <a:off x="6644062" y="3744866"/>
          <a:ext cx="1467882" cy="3568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900" b="1" kern="1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SEP = 0 ft/min</a:t>
          </a:r>
        </a:p>
      </cdr:txBody>
    </cdr:sp>
  </cdr:relSizeAnchor>
  <cdr:relSizeAnchor xmlns:cdr="http://schemas.openxmlformats.org/drawingml/2006/chartDrawing">
    <cdr:from>
      <cdr:x>0.37423</cdr:x>
      <cdr:y>0.29396</cdr:y>
    </cdr:from>
    <cdr:to>
      <cdr:x>0.50182</cdr:x>
      <cdr:y>0.36005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A2BFEB6-831F-A64C-87A3-EBFAC5029A7B}"/>
            </a:ext>
          </a:extLst>
        </cdr:cNvPr>
        <cdr:cNvSpPr txBox="1"/>
      </cdr:nvSpPr>
      <cdr:spPr>
        <a:xfrm xmlns:a="http://schemas.openxmlformats.org/drawingml/2006/main" rot="21251469">
          <a:off x="4305425" y="1587375"/>
          <a:ext cx="1467882" cy="3568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900" b="1" kern="1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SEP = -300 ft/min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abe\Desktop\Main%20PC%20content\University\2025%20(Wits)\Courses\Research%20and%20Design\Design\Utility%20Code%20and%20Software%20Files\Design%20Work%20Sheet%20Final%20_%20Zee_Copy.xlsm" TargetMode="External"/><Relationship Id="rId1" Type="http://schemas.openxmlformats.org/officeDocument/2006/relationships/externalLinkPath" Target="Design%20Work%20Sheet%20Final%20_%20Zee_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mensions"/>
      <sheetName val="Prop Efficay Effects"/>
      <sheetName val="Specs and Useful data"/>
      <sheetName val="External Data"/>
      <sheetName val="External Data 2"/>
      <sheetName val="CRFP Analysis and Layering"/>
      <sheetName val="Wing Concepts"/>
      <sheetName val="Concept Analysis and Calcs"/>
      <sheetName val="2nd Phase (Tailplane)"/>
      <sheetName val="XFLR Foil Analysis"/>
      <sheetName val="Lift Dist"/>
      <sheetName val="Aileron Design and Inertia"/>
      <sheetName val="Internal Structural Analysis"/>
      <sheetName val="Elevator and Pneumatics"/>
      <sheetName val="Envelopes"/>
      <sheetName val="Dutch  Response Data"/>
      <sheetName val="Response Data"/>
      <sheetName val="EM-Chart"/>
      <sheetName val="Calculation Check"/>
      <sheetName val="WING FOIL DATA"/>
      <sheetName val="Form Factor and Stall Effects"/>
      <sheetName val="Cost Estimates"/>
      <sheetName val="Thrust Improvement"/>
      <sheetName val="Roll Response Data"/>
      <sheetName val="Elevator Siz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H8">
            <v>50</v>
          </cell>
          <cell r="Q8">
            <v>0</v>
          </cell>
          <cell r="AH8">
            <v>38</v>
          </cell>
          <cell r="AR8">
            <v>2.7215495268714229</v>
          </cell>
        </row>
        <row r="9">
          <cell r="H9">
            <v>52</v>
          </cell>
          <cell r="Q9">
            <v>0</v>
          </cell>
          <cell r="AH9">
            <v>40</v>
          </cell>
          <cell r="AR9">
            <v>2.8647889756541107</v>
          </cell>
        </row>
        <row r="10">
          <cell r="H10">
            <v>54</v>
          </cell>
          <cell r="Q10">
            <v>0</v>
          </cell>
          <cell r="AH10">
            <v>42</v>
          </cell>
          <cell r="AR10">
            <v>3.0080284244368225</v>
          </cell>
        </row>
        <row r="11">
          <cell r="H11">
            <v>56</v>
          </cell>
          <cell r="Q11">
            <v>0</v>
          </cell>
          <cell r="AH11">
            <v>44</v>
          </cell>
          <cell r="AR11">
            <v>3.1512678732195272</v>
          </cell>
        </row>
        <row r="12">
          <cell r="H12">
            <v>58</v>
          </cell>
          <cell r="Q12">
            <v>0</v>
          </cell>
          <cell r="T12">
            <v>38</v>
          </cell>
          <cell r="AD12">
            <v>2.1772396214971321</v>
          </cell>
          <cell r="AH12">
            <v>46</v>
          </cell>
          <cell r="AR12">
            <v>3.2945073220022301</v>
          </cell>
        </row>
        <row r="13">
          <cell r="H13">
            <v>60</v>
          </cell>
          <cell r="Q13">
            <v>0</v>
          </cell>
          <cell r="T13">
            <v>40</v>
          </cell>
          <cell r="AD13">
            <v>2.291831180523296</v>
          </cell>
          <cell r="AH13">
            <v>48</v>
          </cell>
          <cell r="AR13">
            <v>3.4377467707849427</v>
          </cell>
        </row>
        <row r="14">
          <cell r="H14">
            <v>62</v>
          </cell>
          <cell r="Q14">
            <v>0</v>
          </cell>
          <cell r="T14">
            <v>42</v>
          </cell>
          <cell r="AD14">
            <v>2.4064227395494564</v>
          </cell>
          <cell r="AH14">
            <v>50</v>
          </cell>
          <cell r="AR14">
            <v>3.5809862195676447</v>
          </cell>
        </row>
        <row r="15">
          <cell r="H15">
            <v>64</v>
          </cell>
          <cell r="Q15">
            <v>0</v>
          </cell>
          <cell r="T15">
            <v>44</v>
          </cell>
          <cell r="AC15">
            <v>14.282162490523314</v>
          </cell>
          <cell r="AD15">
            <v>2.521014298575627</v>
          </cell>
          <cell r="AH15">
            <v>52</v>
          </cell>
          <cell r="AR15">
            <v>3.7242256683503503</v>
          </cell>
        </row>
        <row r="16">
          <cell r="H16">
            <v>66</v>
          </cell>
          <cell r="Q16">
            <v>0</v>
          </cell>
          <cell r="T16">
            <v>46</v>
          </cell>
          <cell r="AC16">
            <v>13.661198903978821</v>
          </cell>
          <cell r="AD16">
            <v>2.6356058576017936</v>
          </cell>
          <cell r="AH16">
            <v>54</v>
          </cell>
          <cell r="AQ16">
            <v>18.0284548802926</v>
          </cell>
          <cell r="AR16">
            <v>3.8674651171330603</v>
          </cell>
        </row>
        <row r="17">
          <cell r="H17">
            <v>68</v>
          </cell>
          <cell r="Q17">
            <v>0</v>
          </cell>
          <cell r="T17">
            <v>48</v>
          </cell>
          <cell r="AC17">
            <v>13.091982282979703</v>
          </cell>
          <cell r="AD17">
            <v>2.7501974166279575</v>
          </cell>
          <cell r="AH17">
            <v>56</v>
          </cell>
          <cell r="AQ17">
            <v>17.384581491710723</v>
          </cell>
          <cell r="AR17">
            <v>4.0107045659157636</v>
          </cell>
        </row>
        <row r="18">
          <cell r="H18">
            <v>70</v>
          </cell>
          <cell r="Q18">
            <v>0</v>
          </cell>
          <cell r="T18">
            <v>50</v>
          </cell>
          <cell r="AC18">
            <v>12.568302991660515</v>
          </cell>
          <cell r="AD18">
            <v>2.8647889756541227</v>
          </cell>
          <cell r="AH18">
            <v>58</v>
          </cell>
          <cell r="AQ18">
            <v>16.785113164410351</v>
          </cell>
          <cell r="AR18">
            <v>4.1539440146984683</v>
          </cell>
        </row>
        <row r="19">
          <cell r="A19">
            <v>36.872965202666379</v>
          </cell>
          <cell r="C19">
            <v>0</v>
          </cell>
          <cell r="H19">
            <v>72</v>
          </cell>
          <cell r="Q19">
            <v>0</v>
          </cell>
          <cell r="T19">
            <v>52</v>
          </cell>
          <cell r="AC19">
            <v>12.084906722750494</v>
          </cell>
          <cell r="AD19">
            <v>2.9793805346802817</v>
          </cell>
          <cell r="AH19">
            <v>60</v>
          </cell>
          <cell r="AQ19">
            <v>16.225609392263344</v>
          </cell>
          <cell r="AR19">
            <v>4.2971834634811739</v>
          </cell>
        </row>
        <row r="20">
          <cell r="A20">
            <v>40.392309607206847</v>
          </cell>
          <cell r="C20">
            <v>9.2303738546787262</v>
          </cell>
          <cell r="H20">
            <v>74</v>
          </cell>
          <cell r="Q20">
            <v>0</v>
          </cell>
          <cell r="T20">
            <v>54</v>
          </cell>
          <cell r="AC20">
            <v>11.637317584870846</v>
          </cell>
          <cell r="AD20">
            <v>3.093972093706451</v>
          </cell>
          <cell r="AH20">
            <v>62</v>
          </cell>
          <cell r="AQ20">
            <v>15.702202637674201</v>
          </cell>
          <cell r="AR20">
            <v>4.4404229122638812</v>
          </cell>
        </row>
        <row r="21">
          <cell r="A21">
            <v>43.628680795686037</v>
          </cell>
          <cell r="C21">
            <v>12.622784705005893</v>
          </cell>
          <cell r="H21">
            <v>76</v>
          </cell>
          <cell r="Q21">
            <v>0</v>
          </cell>
          <cell r="T21">
            <v>56</v>
          </cell>
          <cell r="AC21">
            <v>11.221699099696888</v>
          </cell>
          <cell r="AD21">
            <v>3.2085636527326087</v>
          </cell>
          <cell r="AH21">
            <v>64</v>
          </cell>
          <cell r="AQ21">
            <v>15.211508805246883</v>
          </cell>
          <cell r="AR21">
            <v>4.5836623610465868</v>
          </cell>
        </row>
        <row r="22">
          <cell r="A22">
            <v>46.641021649823159</v>
          </cell>
          <cell r="C22">
            <v>15.051711451439198</v>
          </cell>
          <cell r="H22">
            <v>78</v>
          </cell>
          <cell r="Q22">
            <v>0</v>
          </cell>
          <cell r="T22">
            <v>58</v>
          </cell>
          <cell r="AC22">
            <v>10.834743958328028</v>
          </cell>
          <cell r="AD22">
            <v>3.3231552117587775</v>
          </cell>
          <cell r="AH22">
            <v>66</v>
          </cell>
          <cell r="AQ22">
            <v>14.750553992966672</v>
          </cell>
          <cell r="AR22">
            <v>4.7269018098292896</v>
          </cell>
        </row>
        <row r="23">
          <cell r="A23">
            <v>49.470274035087797</v>
          </cell>
          <cell r="C23">
            <v>17.004792343834964</v>
          </cell>
          <cell r="H23">
            <v>80</v>
          </cell>
          <cell r="Q23">
            <v>0</v>
          </cell>
          <cell r="T23">
            <v>60</v>
          </cell>
          <cell r="AC23">
            <v>10.473585826383763</v>
          </cell>
          <cell r="AD23">
            <v>3.4377467707849396</v>
          </cell>
          <cell r="AH23">
            <v>68</v>
          </cell>
          <cell r="AQ23">
            <v>14.316714169644124</v>
          </cell>
          <cell r="AR23">
            <v>4.8701412586119996</v>
          </cell>
        </row>
        <row r="24">
          <cell r="A24">
            <v>52.146247474521985</v>
          </cell>
          <cell r="C24">
            <v>18.669350349926106</v>
          </cell>
          <cell r="H24">
            <v>82</v>
          </cell>
          <cell r="Q24">
            <v>0</v>
          </cell>
          <cell r="T24">
            <v>62</v>
          </cell>
          <cell r="AC24">
            <v>10.135728219081059</v>
          </cell>
          <cell r="AD24">
            <v>3.5523383298111022</v>
          </cell>
          <cell r="AH24">
            <v>70</v>
          </cell>
          <cell r="AQ24">
            <v>13.907665193368578</v>
          </cell>
          <cell r="AR24">
            <v>5.0133807073947043</v>
          </cell>
        </row>
        <row r="25">
          <cell r="A25">
            <v>54.691445750149079</v>
          </cell>
          <cell r="C25">
            <v>20.138997501117217</v>
          </cell>
          <cell r="H25">
            <v>84</v>
          </cell>
          <cell r="Q25">
            <v>0</v>
          </cell>
          <cell r="T25">
            <v>64</v>
          </cell>
          <cell r="AC25">
            <v>9.8189867122347767</v>
          </cell>
          <cell r="AD25">
            <v>3.6669298888372661</v>
          </cell>
          <cell r="AH25">
            <v>72</v>
          </cell>
          <cell r="AQ25">
            <v>13.521341160219452</v>
          </cell>
          <cell r="AR25">
            <v>5.1566201561774117</v>
          </cell>
        </row>
        <row r="26">
          <cell r="A26">
            <v>57.12335206208499</v>
          </cell>
          <cell r="C26">
            <v>21.467498031547869</v>
          </cell>
          <cell r="H26">
            <v>86</v>
          </cell>
          <cell r="Q26">
            <v>0</v>
          </cell>
          <cell r="T26">
            <v>66</v>
          </cell>
          <cell r="AC26">
            <v>9.5214416603488736</v>
          </cell>
          <cell r="AD26">
            <v>3.7815214478634331</v>
          </cell>
          <cell r="AH26">
            <v>74</v>
          </cell>
          <cell r="AQ26">
            <v>13.155899507240546</v>
          </cell>
          <cell r="AR26">
            <v>5.2998596049601145</v>
          </cell>
        </row>
        <row r="27">
          <cell r="A27">
            <v>59.455869881587958</v>
          </cell>
          <cell r="C27">
            <v>22.68862326869688</v>
          </cell>
          <cell r="H27">
            <v>88</v>
          </cell>
          <cell r="Q27">
            <v>0</v>
          </cell>
          <cell r="T27">
            <v>68</v>
          </cell>
          <cell r="AC27">
            <v>9.2413992585739066</v>
          </cell>
          <cell r="AD27">
            <v>3.8961130068895966</v>
          </cell>
          <cell r="AH27">
            <v>76</v>
          </cell>
          <cell r="AQ27">
            <v>12.809691625471061</v>
          </cell>
          <cell r="AR27">
            <v>5.4430990537428201</v>
          </cell>
        </row>
        <row r="28">
          <cell r="A28">
            <v>61.700272089705791</v>
          </cell>
          <cell r="C28">
            <v>23.824983658715617</v>
          </cell>
          <cell r="H28">
            <v>90</v>
          </cell>
          <cell r="Q28">
            <v>0</v>
          </cell>
          <cell r="T28">
            <v>70</v>
          </cell>
          <cell r="AC28">
            <v>8.9773592797575095</v>
          </cell>
          <cell r="AD28">
            <v>4.0107045659157601</v>
          </cell>
          <cell r="AH28">
            <v>78</v>
          </cell>
          <cell r="AQ28">
            <v>12.481237994048724</v>
          </cell>
          <cell r="AR28">
            <v>5.5863385025255266</v>
          </cell>
        </row>
        <row r="29">
          <cell r="A29">
            <v>63.865849156737411</v>
          </cell>
          <cell r="C29">
            <v>24.892467133234813</v>
          </cell>
          <cell r="H29">
            <v>92</v>
          </cell>
          <cell r="Q29">
            <v>0</v>
          </cell>
          <cell r="T29">
            <v>72</v>
          </cell>
          <cell r="AC29">
            <v>8.7279881886531356</v>
          </cell>
          <cell r="AD29">
            <v>4.1252961249419302</v>
          </cell>
          <cell r="AH29">
            <v>80</v>
          </cell>
          <cell r="AQ29">
            <v>12.169207044197506</v>
          </cell>
          <cell r="AR29">
            <v>5.7295779513082312</v>
          </cell>
        </row>
        <row r="30">
          <cell r="A30">
            <v>65.960365380117068</v>
          </cell>
          <cell r="C30">
            <v>25.902672387032787</v>
          </cell>
          <cell r="H30">
            <v>94</v>
          </cell>
          <cell r="Q30">
            <v>0</v>
          </cell>
          <cell r="T30">
            <v>74</v>
          </cell>
          <cell r="AC30">
            <v>8.4920966159868332</v>
          </cell>
          <cell r="AD30">
            <v>4.2398876839680915</v>
          </cell>
          <cell r="AH30">
            <v>82</v>
          </cell>
          <cell r="AQ30">
            <v>11.872397116290252</v>
          </cell>
          <cell r="AR30">
            <v>5.8728174000909386</v>
          </cell>
        </row>
        <row r="31">
          <cell r="A31">
            <v>67.990388391639272</v>
          </cell>
          <cell r="C31">
            <v>26.864333905962372</v>
          </cell>
          <cell r="H31">
            <v>96</v>
          </cell>
          <cell r="Q31">
            <v>0</v>
          </cell>
          <cell r="T31">
            <v>76</v>
          </cell>
          <cell r="AC31">
            <v>8.2686203892503389</v>
          </cell>
          <cell r="AD31">
            <v>4.3544792429942563</v>
          </cell>
          <cell r="AH31">
            <v>84</v>
          </cell>
          <cell r="AQ31">
            <v>11.589720994473813</v>
          </cell>
          <cell r="AR31">
            <v>6.0160568488736441</v>
          </cell>
        </row>
        <row r="32">
          <cell r="A32">
            <v>69.961532474734739</v>
          </cell>
          <cell r="C32">
            <v>27.784201226729365</v>
          </cell>
          <cell r="H32">
            <v>98</v>
          </cell>
          <cell r="Q32">
            <v>0</v>
          </cell>
          <cell r="T32">
            <v>78</v>
          </cell>
          <cell r="AC32">
            <v>8.0566044818336628</v>
          </cell>
          <cell r="AD32">
            <v>4.4690708020204202</v>
          </cell>
          <cell r="AH32">
            <v>86</v>
          </cell>
          <cell r="AQ32">
            <v>11.320192599253495</v>
          </cell>
          <cell r="AR32">
            <v>6.1592962976563506</v>
          </cell>
        </row>
        <row r="33">
          <cell r="A33">
            <v>71.878641742737287</v>
          </cell>
          <cell r="C33">
            <v>28.667605028631939</v>
          </cell>
          <cell r="H33">
            <v>100</v>
          </cell>
          <cell r="Q33">
            <v>0</v>
          </cell>
          <cell r="T33">
            <v>80</v>
          </cell>
          <cell r="AC33">
            <v>7.855189369787821</v>
          </cell>
          <cell r="AD33">
            <v>4.5836623610465859</v>
          </cell>
          <cell r="AH33">
            <v>88</v>
          </cell>
          <cell r="AQ33">
            <v>11.062915494725006</v>
          </cell>
          <cell r="AR33">
            <v>6.3025357464390561</v>
          </cell>
        </row>
        <row r="34">
          <cell r="A34">
            <v>73.745930405332757</v>
          </cell>
          <cell r="C34">
            <v>29.51883477071403</v>
          </cell>
          <cell r="H34">
            <v>102</v>
          </cell>
          <cell r="Q34">
            <v>0</v>
          </cell>
          <cell r="T34">
            <v>82</v>
          </cell>
          <cell r="AC34">
            <v>7.6635993851588511</v>
          </cell>
          <cell r="AD34">
            <v>4.6982539200727524</v>
          </cell>
          <cell r="AH34">
            <v>90</v>
          </cell>
          <cell r="AQ34">
            <v>10.817072928175561</v>
          </cell>
          <cell r="AR34">
            <v>6.4457751952217626</v>
          </cell>
        </row>
        <row r="35">
          <cell r="A35">
            <v>75.56709180533278</v>
          </cell>
          <cell r="C35">
            <v>30.341398328694233</v>
          </cell>
          <cell r="H35">
            <v>104</v>
          </cell>
          <cell r="Q35">
            <v>0</v>
          </cell>
          <cell r="T35">
            <v>84</v>
          </cell>
          <cell r="AC35">
            <v>7.4811327331312585</v>
          </cell>
          <cell r="AD35">
            <v>4.8128454790989146</v>
          </cell>
          <cell r="AH35">
            <v>92</v>
          </cell>
          <cell r="AQ35">
            <v>10.581919168867397</v>
          </cell>
          <cell r="AR35">
            <v>6.5890146440044681</v>
          </cell>
        </row>
        <row r="36">
          <cell r="A36">
            <v>77.345384325653214</v>
          </cell>
          <cell r="C36">
            <v>31.13820520918366</v>
          </cell>
          <cell r="H36">
            <v>106</v>
          </cell>
          <cell r="Q36">
            <v>0</v>
          </cell>
          <cell r="T36">
            <v>86</v>
          </cell>
          <cell r="AC36">
            <v>7.3071529021282071</v>
          </cell>
          <cell r="AD36">
            <v>4.927437038125082</v>
          </cell>
          <cell r="AH36">
            <v>94</v>
          </cell>
          <cell r="AQ36">
            <v>10.356771952508515</v>
          </cell>
          <cell r="AR36">
            <v>6.7322540927871719</v>
          </cell>
        </row>
        <row r="37">
          <cell r="A37">
            <v>79.083699894797604</v>
          </cell>
          <cell r="C37">
            <v>31.911698805632831</v>
          </cell>
          <cell r="H37">
            <v>108</v>
          </cell>
          <cell r="Q37">
            <v>0</v>
          </cell>
          <cell r="T37">
            <v>88</v>
          </cell>
          <cell r="AC37">
            <v>7.141081245261657</v>
          </cell>
          <cell r="AD37">
            <v>5.0420285971512451</v>
          </cell>
          <cell r="AH37">
            <v>96</v>
          </cell>
          <cell r="AQ37">
            <v>10.141005870164589</v>
          </cell>
          <cell r="AR37">
            <v>6.8754935415698792</v>
          </cell>
        </row>
        <row r="38">
          <cell r="A38">
            <v>80.784619214413709</v>
          </cell>
          <cell r="C38">
            <v>32.663953799856245</v>
          </cell>
          <cell r="H38">
            <v>110</v>
          </cell>
          <cell r="Q38">
            <v>0</v>
          </cell>
          <cell r="T38">
            <v>90</v>
          </cell>
          <cell r="AC38">
            <v>6.9823905509225082</v>
          </cell>
          <cell r="AD38">
            <v>5.1566201561774081</v>
          </cell>
          <cell r="AH38">
            <v>98</v>
          </cell>
          <cell r="AQ38">
            <v>9.9340465666918423</v>
          </cell>
          <cell r="AR38">
            <v>7.0187329903525857</v>
          </cell>
        </row>
        <row r="39">
          <cell r="A39">
            <v>82.450456725146338</v>
          </cell>
          <cell r="C39">
            <v>33.396749182555425</v>
          </cell>
          <cell r="H39">
            <v>112</v>
          </cell>
          <cell r="Q39">
            <v>0</v>
          </cell>
          <cell r="T39">
            <v>92</v>
          </cell>
          <cell r="AC39">
            <v>6.8305994519894107</v>
          </cell>
          <cell r="AD39">
            <v>5.2712117152035747</v>
          </cell>
          <cell r="AH39">
            <v>100</v>
          </cell>
          <cell r="AQ39">
            <v>9.7353656353580043</v>
          </cell>
          <cell r="AR39">
            <v>7.1619724391352921</v>
          </cell>
        </row>
        <row r="40">
          <cell r="H40">
            <v>114</v>
          </cell>
          <cell r="Q40">
            <v>0</v>
          </cell>
          <cell r="T40">
            <v>94</v>
          </cell>
          <cell r="AC40">
            <v>6.6852675487555926</v>
          </cell>
          <cell r="AD40">
            <v>5.3858032742297386</v>
          </cell>
          <cell r="AH40">
            <v>102</v>
          </cell>
          <cell r="AQ40">
            <v>9.5444761130960831</v>
          </cell>
          <cell r="AR40">
            <v>7.305211887917995</v>
          </cell>
        </row>
        <row r="41">
          <cell r="H41">
            <v>116</v>
          </cell>
          <cell r="Q41">
            <v>0</v>
          </cell>
          <cell r="T41">
            <v>96</v>
          </cell>
          <cell r="AC41">
            <v>6.5459911414898517</v>
          </cell>
          <cell r="AD41">
            <v>5.5003948332559052</v>
          </cell>
          <cell r="AH41">
            <v>104</v>
          </cell>
          <cell r="AQ41">
            <v>9.3609284955365428</v>
          </cell>
          <cell r="AR41">
            <v>7.4484513367007024</v>
          </cell>
        </row>
        <row r="42">
          <cell r="H42">
            <v>118</v>
          </cell>
          <cell r="Q42">
            <v>0</v>
          </cell>
          <cell r="T42">
            <v>98</v>
          </cell>
          <cell r="AC42">
            <v>6.41239948554108</v>
          </cell>
          <cell r="AD42">
            <v>5.6149863922820691</v>
          </cell>
          <cell r="AH42">
            <v>106</v>
          </cell>
          <cell r="AQ42">
            <v>9.1843072031679291</v>
          </cell>
          <cell r="AR42">
            <v>7.591690785483407</v>
          </cell>
        </row>
        <row r="43">
          <cell r="H43">
            <v>120</v>
          </cell>
          <cell r="Q43">
            <v>0</v>
          </cell>
          <cell r="T43">
            <v>100</v>
          </cell>
          <cell r="AC43">
            <v>6.2841514958302573</v>
          </cell>
          <cell r="AD43">
            <v>5.7295779513082312</v>
          </cell>
          <cell r="AH43">
            <v>108</v>
          </cell>
          <cell r="AQ43">
            <v>9.0142274401462998</v>
          </cell>
          <cell r="AR43">
            <v>7.7349302342661153</v>
          </cell>
        </row>
        <row r="44">
          <cell r="H44">
            <v>122</v>
          </cell>
          <cell r="Q44">
            <v>0</v>
          </cell>
          <cell r="T44">
            <v>102</v>
          </cell>
          <cell r="AC44">
            <v>6.1609328390492717</v>
          </cell>
          <cell r="AD44">
            <v>5.8441695103343969</v>
          </cell>
          <cell r="AH44">
            <v>110</v>
          </cell>
          <cell r="AQ44">
            <v>8.8503323957800042</v>
          </cell>
          <cell r="AR44">
            <v>7.878169683048819</v>
          </cell>
        </row>
        <row r="45">
          <cell r="H45">
            <v>124</v>
          </cell>
          <cell r="Q45">
            <v>0</v>
          </cell>
          <cell r="T45">
            <v>104</v>
          </cell>
          <cell r="AC45">
            <v>6.0424533613752471</v>
          </cell>
          <cell r="AD45">
            <v>5.9587610693605635</v>
          </cell>
          <cell r="AH45">
            <v>112</v>
          </cell>
          <cell r="AQ45">
            <v>8.6922907458553613</v>
          </cell>
          <cell r="AR45">
            <v>8.0214091318315255</v>
          </cell>
        </row>
        <row r="46">
          <cell r="H46">
            <v>126</v>
          </cell>
          <cell r="Q46">
            <v>0</v>
          </cell>
          <cell r="T46">
            <v>106</v>
          </cell>
          <cell r="AC46">
            <v>5.9284448073870353</v>
          </cell>
          <cell r="AD46">
            <v>6.0733526283867256</v>
          </cell>
          <cell r="AH46">
            <v>114</v>
          </cell>
          <cell r="AQ46">
            <v>8.5397944169807065</v>
          </cell>
          <cell r="AR46">
            <v>8.1646485806142319</v>
          </cell>
        </row>
        <row r="47">
          <cell r="H47">
            <v>128</v>
          </cell>
          <cell r="Q47">
            <v>0</v>
          </cell>
          <cell r="T47">
            <v>108</v>
          </cell>
          <cell r="AC47">
            <v>5.8186587924354232</v>
          </cell>
          <cell r="AD47">
            <v>6.1879441874128913</v>
          </cell>
          <cell r="AH47">
            <v>116</v>
          </cell>
          <cell r="AQ47">
            <v>8.3925565822051755</v>
          </cell>
          <cell r="AR47">
            <v>8.3078880293969366</v>
          </cell>
        </row>
        <row r="48">
          <cell r="H48">
            <v>130</v>
          </cell>
          <cell r="Q48">
            <v>0</v>
          </cell>
          <cell r="T48">
            <v>110</v>
          </cell>
          <cell r="AC48">
            <v>5.7128649962093245</v>
          </cell>
          <cell r="AD48">
            <v>6.3025357464390552</v>
          </cell>
          <cell r="AH48">
            <v>118</v>
          </cell>
          <cell r="AQ48">
            <v>8.2503098604728855</v>
          </cell>
          <cell r="AR48">
            <v>8.4511274781796466</v>
          </cell>
        </row>
        <row r="49">
          <cell r="H49">
            <v>132</v>
          </cell>
          <cell r="Q49">
            <v>0</v>
          </cell>
          <cell r="T49">
            <v>112</v>
          </cell>
          <cell r="AC49">
            <v>5.6108495498484441</v>
          </cell>
          <cell r="AD49">
            <v>6.4171273054652209</v>
          </cell>
          <cell r="AH49">
            <v>120</v>
          </cell>
          <cell r="AQ49">
            <v>8.112804696131672</v>
          </cell>
          <cell r="AR49">
            <v>8.5943669269623513</v>
          </cell>
        </row>
        <row r="50">
          <cell r="H50">
            <v>134</v>
          </cell>
          <cell r="Q50">
            <v>0</v>
          </cell>
          <cell r="T50">
            <v>114</v>
          </cell>
          <cell r="AC50">
            <v>5.5124135928335596</v>
          </cell>
          <cell r="AD50">
            <v>6.5317188644913866</v>
          </cell>
          <cell r="AH50">
            <v>122</v>
          </cell>
          <cell r="AQ50">
            <v>7.97980789783443</v>
          </cell>
          <cell r="AR50">
            <v>8.7376063757450542</v>
          </cell>
        </row>
        <row r="51">
          <cell r="H51">
            <v>136</v>
          </cell>
          <cell r="Q51">
            <v>0</v>
          </cell>
          <cell r="T51">
            <v>116</v>
          </cell>
          <cell r="AC51">
            <v>5.417371979164014</v>
          </cell>
          <cell r="AD51">
            <v>6.6463104235175496</v>
          </cell>
          <cell r="AH51">
            <v>124</v>
          </cell>
          <cell r="AQ51">
            <v>7.8511013188371006</v>
          </cell>
          <cell r="AR51">
            <v>8.8808458245277624</v>
          </cell>
        </row>
        <row r="52">
          <cell r="H52">
            <v>138</v>
          </cell>
          <cell r="Q52">
            <v>0</v>
          </cell>
          <cell r="T52">
            <v>118</v>
          </cell>
          <cell r="AC52">
            <v>5.325552115110388</v>
          </cell>
          <cell r="AD52">
            <v>6.7609019825437153</v>
          </cell>
          <cell r="AH52">
            <v>126</v>
          </cell>
          <cell r="AQ52">
            <v>7.726480662982544</v>
          </cell>
          <cell r="AR52">
            <v>9.0240852733104688</v>
          </cell>
        </row>
        <row r="53">
          <cell r="H53">
            <v>140</v>
          </cell>
          <cell r="Q53">
            <v>0</v>
          </cell>
          <cell r="T53">
            <v>120</v>
          </cell>
          <cell r="AC53">
            <v>5.2367929131918816</v>
          </cell>
          <cell r="AD53">
            <v>6.875493541569881</v>
          </cell>
          <cell r="AH53">
            <v>128</v>
          </cell>
          <cell r="AQ53">
            <v>7.6057544026234414</v>
          </cell>
          <cell r="AR53">
            <v>9.1673247220931717</v>
          </cell>
        </row>
        <row r="54">
          <cell r="H54">
            <v>142</v>
          </cell>
          <cell r="Q54">
            <v>0</v>
          </cell>
          <cell r="T54">
            <v>122</v>
          </cell>
          <cell r="AC54">
            <v>5.1509438490411945</v>
          </cell>
          <cell r="AD54">
            <v>6.990085100596044</v>
          </cell>
          <cell r="AH54">
            <v>130</v>
          </cell>
          <cell r="AQ54">
            <v>7.4887427964292348</v>
          </cell>
          <cell r="AR54">
            <v>9.31056417087588</v>
          </cell>
        </row>
        <row r="55">
          <cell r="H55">
            <v>144</v>
          </cell>
          <cell r="Q55">
            <v>0</v>
          </cell>
          <cell r="T55">
            <v>124</v>
          </cell>
          <cell r="AC55">
            <v>5.0678641095405297</v>
          </cell>
          <cell r="AD55">
            <v>7.1046766596222088</v>
          </cell>
          <cell r="AH55">
            <v>132</v>
          </cell>
          <cell r="AQ55">
            <v>7.3752769964833362</v>
          </cell>
          <cell r="AR55">
            <v>9.4538036196585828</v>
          </cell>
        </row>
        <row r="56">
          <cell r="H56">
            <v>146</v>
          </cell>
          <cell r="Q56">
            <v>0</v>
          </cell>
          <cell r="T56">
            <v>126</v>
          </cell>
          <cell r="AC56">
            <v>4.987421822087506</v>
          </cell>
          <cell r="AD56">
            <v>7.2192682186483736</v>
          </cell>
          <cell r="AH56">
            <v>134</v>
          </cell>
          <cell r="AQ56">
            <v>7.2651982353417948</v>
          </cell>
          <cell r="AR56">
            <v>9.5970430684412893</v>
          </cell>
        </row>
        <row r="57">
          <cell r="A57">
            <v>81</v>
          </cell>
          <cell r="B57">
            <v>-9.8099999999988086E-2</v>
          </cell>
          <cell r="H57">
            <v>148</v>
          </cell>
          <cell r="Q57">
            <v>0</v>
          </cell>
          <cell r="T57">
            <v>128</v>
          </cell>
          <cell r="AC57">
            <v>4.9094933561173884</v>
          </cell>
          <cell r="AD57">
            <v>7.3338597776745384</v>
          </cell>
          <cell r="AH57">
            <v>136</v>
          </cell>
          <cell r="AQ57">
            <v>7.1583570848220619</v>
          </cell>
          <cell r="AR57">
            <v>9.7402825172239957</v>
          </cell>
        </row>
        <row r="58">
          <cell r="A58">
            <v>86</v>
          </cell>
          <cell r="B58">
            <v>1.8924000000000234</v>
          </cell>
          <cell r="H58">
            <v>150</v>
          </cell>
          <cell r="Q58">
            <v>0</v>
          </cell>
          <cell r="T58">
            <v>130</v>
          </cell>
          <cell r="AC58">
            <v>4.8339626891001988</v>
          </cell>
          <cell r="AD58">
            <v>7.4484513367007033</v>
          </cell>
          <cell r="AH58">
            <v>138</v>
          </cell>
          <cell r="AQ58">
            <v>7.0546127792449305</v>
          </cell>
          <cell r="AR58">
            <v>9.8835219660067004</v>
          </cell>
        </row>
        <row r="59">
          <cell r="A59">
            <v>91</v>
          </cell>
          <cell r="B59">
            <v>3.3179000000000087</v>
          </cell>
          <cell r="H59">
            <v>152</v>
          </cell>
          <cell r="Q59">
            <v>0</v>
          </cell>
          <cell r="T59">
            <v>132</v>
          </cell>
          <cell r="AC59">
            <v>4.7607208301744368</v>
          </cell>
          <cell r="AD59">
            <v>7.5630428957268663</v>
          </cell>
          <cell r="AH59">
            <v>140</v>
          </cell>
          <cell r="AQ59">
            <v>6.9538325966842889</v>
          </cell>
          <cell r="AR59">
            <v>10.026761414789405</v>
          </cell>
        </row>
        <row r="60">
          <cell r="A60">
            <v>96</v>
          </cell>
          <cell r="B60">
            <v>4.1784000000000248</v>
          </cell>
          <cell r="H60">
            <v>154</v>
          </cell>
          <cell r="Q60">
            <v>0</v>
          </cell>
          <cell r="T60">
            <v>134</v>
          </cell>
          <cell r="AC60">
            <v>4.6896652953957148</v>
          </cell>
          <cell r="AD60">
            <v>7.677634454753032</v>
          </cell>
          <cell r="AH60">
            <v>142</v>
          </cell>
          <cell r="AQ60">
            <v>6.8558912925056372</v>
          </cell>
          <cell r="AR60">
            <v>10.170000863572112</v>
          </cell>
        </row>
        <row r="61">
          <cell r="A61">
            <v>101</v>
          </cell>
          <cell r="B61">
            <v>4.4739000000000146</v>
          </cell>
          <cell r="H61">
            <v>156</v>
          </cell>
          <cell r="Q61">
            <v>0</v>
          </cell>
          <cell r="T61">
            <v>136</v>
          </cell>
          <cell r="AC61">
            <v>4.6206996292869533</v>
          </cell>
          <cell r="AD61">
            <v>7.792226013779195</v>
          </cell>
          <cell r="AH61">
            <v>144</v>
          </cell>
          <cell r="AQ61">
            <v>6.7606705801097258</v>
          </cell>
          <cell r="AR61">
            <v>10.31324031235482</v>
          </cell>
        </row>
        <row r="62">
          <cell r="A62">
            <v>106</v>
          </cell>
          <cell r="B62">
            <v>4.2044000000000068</v>
          </cell>
          <cell r="H62">
            <v>158</v>
          </cell>
          <cell r="Q62">
            <v>0</v>
          </cell>
          <cell r="T62">
            <v>138</v>
          </cell>
          <cell r="AC62">
            <v>4.5537329679929401</v>
          </cell>
          <cell r="AD62">
            <v>7.9068175728053616</v>
          </cell>
          <cell r="AH62">
            <v>146</v>
          </cell>
          <cell r="AQ62">
            <v>6.6680586543547982</v>
          </cell>
          <cell r="AR62">
            <v>10.456479761137524</v>
          </cell>
        </row>
        <row r="63">
          <cell r="A63">
            <v>111</v>
          </cell>
          <cell r="B63">
            <v>3.3699000000000296</v>
          </cell>
          <cell r="H63">
            <v>160</v>
          </cell>
          <cell r="Q63">
            <v>0</v>
          </cell>
          <cell r="T63">
            <v>140</v>
          </cell>
          <cell r="AC63">
            <v>4.4886796398787547</v>
          </cell>
          <cell r="AD63">
            <v>8.0214091318315273</v>
          </cell>
          <cell r="AH63">
            <v>148</v>
          </cell>
          <cell r="AQ63">
            <v>6.5779497536202731</v>
          </cell>
          <cell r="AR63">
            <v>10.599719209920231</v>
          </cell>
        </row>
        <row r="64">
          <cell r="A64">
            <v>116</v>
          </cell>
          <cell r="B64">
            <v>1.9704000000000406</v>
          </cell>
          <cell r="H64">
            <v>162</v>
          </cell>
          <cell r="Q64">
            <v>0</v>
          </cell>
          <cell r="T64">
            <v>142</v>
          </cell>
          <cell r="AC64">
            <v>4.4254587998804631</v>
          </cell>
          <cell r="AD64">
            <v>8.1360006908576903</v>
          </cell>
          <cell r="AH64">
            <v>150</v>
          </cell>
          <cell r="AQ64">
            <v>6.4902437569053371</v>
          </cell>
          <cell r="AR64">
            <v>10.742958658702936</v>
          </cell>
        </row>
        <row r="65">
          <cell r="A65">
            <v>121</v>
          </cell>
          <cell r="B65">
            <v>0</v>
          </cell>
          <cell r="H65">
            <v>164</v>
          </cell>
          <cell r="Q65">
            <v>0</v>
          </cell>
          <cell r="T65">
            <v>144</v>
          </cell>
          <cell r="AC65">
            <v>4.3639940943265678</v>
          </cell>
          <cell r="AD65">
            <v>8.2505922498838569</v>
          </cell>
          <cell r="AH65">
            <v>152</v>
          </cell>
          <cell r="AQ65">
            <v>6.4048458127355303</v>
          </cell>
          <cell r="AR65">
            <v>10.886198107485644</v>
          </cell>
        </row>
        <row r="66">
          <cell r="H66">
            <v>166</v>
          </cell>
          <cell r="Q66">
            <v>0</v>
          </cell>
          <cell r="T66">
            <v>146</v>
          </cell>
          <cell r="AC66">
            <v>4.3042133533083957</v>
          </cell>
          <cell r="AD66">
            <v>8.3651838089100199</v>
          </cell>
          <cell r="AH66">
            <v>154</v>
          </cell>
          <cell r="AQ66">
            <v>6.3216659969857174</v>
          </cell>
          <cell r="AR66">
            <v>11.029437556268348</v>
          </cell>
        </row>
        <row r="67">
          <cell r="H67">
            <v>168</v>
          </cell>
          <cell r="Q67">
            <v>0</v>
          </cell>
          <cell r="T67">
            <v>148</v>
          </cell>
          <cell r="AC67">
            <v>4.2460483079934166</v>
          </cell>
          <cell r="AD67">
            <v>8.4797753679361847</v>
          </cell>
          <cell r="AH67">
            <v>156</v>
          </cell>
          <cell r="AQ67">
            <v>6.2406189970243622</v>
          </cell>
          <cell r="AR67">
            <v>11.172677005051055</v>
          </cell>
        </row>
        <row r="68">
          <cell r="H68">
            <v>170</v>
          </cell>
          <cell r="Q68">
            <v>0</v>
          </cell>
          <cell r="T68">
            <v>150</v>
          </cell>
          <cell r="AC68">
            <v>4.1894343305535049</v>
          </cell>
          <cell r="AD68">
            <v>8.5943669269623495</v>
          </cell>
          <cell r="AH68">
            <v>158</v>
          </cell>
          <cell r="AQ68">
            <v>6.161623819846838</v>
          </cell>
          <cell r="AR68">
            <v>11.31591645383376</v>
          </cell>
        </row>
        <row r="69">
          <cell r="H69">
            <v>172</v>
          </cell>
          <cell r="Q69">
            <v>0</v>
          </cell>
          <cell r="T69">
            <v>152</v>
          </cell>
          <cell r="AC69">
            <v>4.1343101946251695</v>
          </cell>
          <cell r="AD69">
            <v>8.7089584859885143</v>
          </cell>
          <cell r="AH69">
            <v>160</v>
          </cell>
          <cell r="AQ69">
            <v>6.0846035220987531</v>
          </cell>
          <cell r="AR69">
            <v>11.459155902616464</v>
          </cell>
        </row>
        <row r="70">
          <cell r="A70">
            <v>40</v>
          </cell>
          <cell r="B70">
            <v>7</v>
          </cell>
          <cell r="H70">
            <v>174</v>
          </cell>
          <cell r="Q70">
            <v>0</v>
          </cell>
          <cell r="T70">
            <v>154</v>
          </cell>
          <cell r="AC70">
            <v>4.0806178544352321</v>
          </cell>
          <cell r="AD70">
            <v>8.8235500450146809</v>
          </cell>
          <cell r="AH70">
            <v>162</v>
          </cell>
          <cell r="AQ70">
            <v>6.0094849600975344</v>
          </cell>
          <cell r="AR70">
            <v>11.602395351399172</v>
          </cell>
        </row>
        <row r="71">
          <cell r="A71">
            <v>50</v>
          </cell>
          <cell r="B71">
            <v>8.5</v>
          </cell>
          <cell r="H71">
            <v>176</v>
          </cell>
          <cell r="Q71">
            <v>0</v>
          </cell>
          <cell r="T71">
            <v>156</v>
          </cell>
          <cell r="AC71">
            <v>4.0283022409168314</v>
          </cell>
          <cell r="AD71">
            <v>8.9381416040408439</v>
          </cell>
          <cell r="AH71">
            <v>164</v>
          </cell>
          <cell r="AQ71">
            <v>5.9361985581451258</v>
          </cell>
          <cell r="AR71">
            <v>11.745634800181881</v>
          </cell>
        </row>
        <row r="72">
          <cell r="A72">
            <v>76</v>
          </cell>
          <cell r="B72">
            <v>11</v>
          </cell>
          <cell r="H72">
            <v>178</v>
          </cell>
          <cell r="Q72">
            <v>0</v>
          </cell>
          <cell r="T72">
            <v>158</v>
          </cell>
          <cell r="AC72">
            <v>3.9773110733102892</v>
          </cell>
          <cell r="AD72">
            <v>9.0527331630670069</v>
          </cell>
          <cell r="AH72">
            <v>166</v>
          </cell>
          <cell r="AQ72">
            <v>5.8646780935891583</v>
          </cell>
          <cell r="AR72">
            <v>11.88887424896458</v>
          </cell>
        </row>
        <row r="73">
          <cell r="A73">
            <v>98</v>
          </cell>
          <cell r="B73">
            <v>10</v>
          </cell>
          <cell r="H73">
            <v>180</v>
          </cell>
          <cell r="Q73">
            <v>0</v>
          </cell>
          <cell r="T73">
            <v>160</v>
          </cell>
          <cell r="AC73">
            <v>3.9275946848939105</v>
          </cell>
          <cell r="AD73">
            <v>9.1673247220931717</v>
          </cell>
          <cell r="AH73">
            <v>168</v>
          </cell>
          <cell r="AQ73">
            <v>5.7948604972369067</v>
          </cell>
          <cell r="AR73">
            <v>12.032113697747288</v>
          </cell>
        </row>
        <row r="74">
          <cell r="A74">
            <v>116</v>
          </cell>
          <cell r="B74">
            <v>8</v>
          </cell>
          <cell r="H74">
            <v>182</v>
          </cell>
          <cell r="Q74">
            <v>0</v>
          </cell>
          <cell r="T74">
            <v>162</v>
          </cell>
          <cell r="AC74">
            <v>3.879105861623616</v>
          </cell>
          <cell r="AD74">
            <v>9.2819162811193401</v>
          </cell>
          <cell r="AH74">
            <v>170</v>
          </cell>
          <cell r="AQ74">
            <v>5.7266856678576499</v>
          </cell>
          <cell r="AR74">
            <v>12.175353146529995</v>
          </cell>
        </row>
        <row r="75">
          <cell r="A75">
            <v>126</v>
          </cell>
          <cell r="B75">
            <v>6</v>
          </cell>
          <cell r="H75">
            <v>184</v>
          </cell>
          <cell r="Q75">
            <v>0</v>
          </cell>
          <cell r="T75">
            <v>164</v>
          </cell>
          <cell r="AC75">
            <v>3.8317996925794255</v>
          </cell>
          <cell r="AD75">
            <v>9.3965078401455049</v>
          </cell>
          <cell r="AH75">
            <v>172</v>
          </cell>
          <cell r="AQ75">
            <v>5.6600962996267477</v>
          </cell>
          <cell r="AR75">
            <v>12.318592595312701</v>
          </cell>
        </row>
        <row r="76">
          <cell r="A76">
            <v>130</v>
          </cell>
          <cell r="B76">
            <v>4</v>
          </cell>
          <cell r="H76">
            <v>186</v>
          </cell>
          <cell r="Q76">
            <v>0</v>
          </cell>
          <cell r="T76">
            <v>166</v>
          </cell>
          <cell r="AC76">
            <v>3.785633431223046</v>
          </cell>
          <cell r="AD76">
            <v>9.5110993991716644</v>
          </cell>
          <cell r="AH76">
            <v>174</v>
          </cell>
          <cell r="AQ76">
            <v>5.5950377214701179</v>
          </cell>
          <cell r="AR76">
            <v>12.461832044095408</v>
          </cell>
        </row>
        <row r="77">
          <cell r="A77">
            <v>135</v>
          </cell>
          <cell r="B77">
            <v>0</v>
          </cell>
          <cell r="H77">
            <v>188</v>
          </cell>
          <cell r="Q77">
            <v>0</v>
          </cell>
          <cell r="T77">
            <v>168</v>
          </cell>
          <cell r="AC77">
            <v>3.7405663665656292</v>
          </cell>
          <cell r="AD77">
            <v>9.6256909581978309</v>
          </cell>
          <cell r="AH77">
            <v>176</v>
          </cell>
          <cell r="AQ77">
            <v>5.5314577473625031</v>
          </cell>
          <cell r="AR77">
            <v>12.605071492878112</v>
          </cell>
        </row>
        <row r="78">
          <cell r="H78">
            <v>190</v>
          </cell>
          <cell r="Q78">
            <v>0</v>
          </cell>
          <cell r="T78">
            <v>170</v>
          </cell>
          <cell r="AC78">
            <v>3.6965597034295627</v>
          </cell>
          <cell r="AD78">
            <v>9.7402825172239957</v>
          </cell>
          <cell r="AH78">
            <v>178</v>
          </cell>
          <cell r="AQ78">
            <v>5.4693065367179798</v>
          </cell>
          <cell r="AR78">
            <v>12.748310941660819</v>
          </cell>
        </row>
        <row r="79">
          <cell r="H79">
            <v>192</v>
          </cell>
          <cell r="Q79">
            <v>0</v>
          </cell>
          <cell r="T79">
            <v>172</v>
          </cell>
          <cell r="AC79">
            <v>3.6535764510641036</v>
          </cell>
          <cell r="AD79">
            <v>9.8548740762501623</v>
          </cell>
          <cell r="AH79">
            <v>180</v>
          </cell>
          <cell r="AQ79">
            <v>5.4085364640877804</v>
          </cell>
          <cell r="AR79">
            <v>12.891550390443523</v>
          </cell>
        </row>
        <row r="80">
          <cell r="H80">
            <v>194</v>
          </cell>
          <cell r="Q80">
            <v>0</v>
          </cell>
          <cell r="T80">
            <v>174</v>
          </cell>
          <cell r="AC80">
            <v>3.6115813194426769</v>
          </cell>
          <cell r="AD80">
            <v>9.9694656352763253</v>
          </cell>
          <cell r="AH80">
            <v>182</v>
          </cell>
          <cell r="AQ80">
            <v>5.3491019974494538</v>
          </cell>
          <cell r="AR80">
            <v>13.034789839226232</v>
          </cell>
        </row>
        <row r="81">
          <cell r="H81">
            <v>196</v>
          </cell>
          <cell r="Q81">
            <v>0</v>
          </cell>
          <cell r="T81">
            <v>176</v>
          </cell>
          <cell r="AC81">
            <v>3.5705406226308285</v>
          </cell>
          <cell r="AD81">
            <v>10.084057194302488</v>
          </cell>
          <cell r="AH81">
            <v>184</v>
          </cell>
          <cell r="AQ81">
            <v>5.2909595844336987</v>
          </cell>
          <cell r="AR81">
            <v>13.178029288008936</v>
          </cell>
        </row>
        <row r="82">
          <cell r="H82">
            <v>198</v>
          </cell>
          <cell r="Q82">
            <v>0</v>
          </cell>
          <cell r="T82">
            <v>178</v>
          </cell>
          <cell r="AC82">
            <v>3.5304221886686835</v>
          </cell>
          <cell r="AD82">
            <v>10.198648753328651</v>
          </cell>
          <cell r="AH82">
            <v>186</v>
          </cell>
          <cell r="AQ82">
            <v>5.234067545891401</v>
          </cell>
        </row>
        <row r="83">
          <cell r="H83">
            <v>200</v>
          </cell>
          <cell r="Q83">
            <v>0</v>
          </cell>
          <cell r="T83">
            <v>180</v>
          </cell>
          <cell r="AC83">
            <v>3.4911952754612541</v>
          </cell>
          <cell r="AD83">
            <v>10.31324031235482</v>
          </cell>
          <cell r="AH83">
            <v>188</v>
          </cell>
          <cell r="AQ83">
            <v>5.1783859762542575</v>
          </cell>
        </row>
        <row r="84">
          <cell r="AH84">
            <v>190</v>
          </cell>
          <cell r="AQ84">
            <v>5.1238766501884232</v>
          </cell>
        </row>
        <row r="92">
          <cell r="H92">
            <v>40</v>
          </cell>
          <cell r="R92">
            <v>3.8197186342054854</v>
          </cell>
          <cell r="T92">
            <v>38</v>
          </cell>
          <cell r="AD92">
            <v>5.4430990537428272</v>
          </cell>
        </row>
        <row r="93">
          <cell r="H93">
            <v>42</v>
          </cell>
          <cell r="R93">
            <v>4.0107045659157645</v>
          </cell>
          <cell r="T93">
            <v>40</v>
          </cell>
          <cell r="AD93">
            <v>5.7295779513082321</v>
          </cell>
        </row>
        <row r="94">
          <cell r="H94">
            <v>44</v>
          </cell>
          <cell r="R94">
            <v>4.2016904976260392</v>
          </cell>
          <cell r="T94">
            <v>42</v>
          </cell>
          <cell r="AD94">
            <v>6.016056848873645</v>
          </cell>
        </row>
        <row r="95">
          <cell r="H95">
            <v>46</v>
          </cell>
          <cell r="R95">
            <v>4.3926764293363112</v>
          </cell>
          <cell r="T95">
            <v>44</v>
          </cell>
          <cell r="AD95">
            <v>6.3025357464390606</v>
          </cell>
        </row>
        <row r="96">
          <cell r="H96">
            <v>48</v>
          </cell>
          <cell r="R96">
            <v>4.583662361046585</v>
          </cell>
          <cell r="T96">
            <v>46</v>
          </cell>
          <cell r="AD96">
            <v>6.5890146440044655</v>
          </cell>
        </row>
        <row r="97">
          <cell r="H97">
            <v>50</v>
          </cell>
          <cell r="R97">
            <v>4.7746482927568632</v>
          </cell>
          <cell r="T97">
            <v>48</v>
          </cell>
          <cell r="AD97">
            <v>6.8754935415698819</v>
          </cell>
        </row>
        <row r="98">
          <cell r="H98">
            <v>52</v>
          </cell>
          <cell r="R98">
            <v>4.9656342244671379</v>
          </cell>
          <cell r="T98">
            <v>50</v>
          </cell>
          <cell r="AD98">
            <v>7.1619724391352912</v>
          </cell>
        </row>
        <row r="99">
          <cell r="H99">
            <v>54</v>
          </cell>
          <cell r="R99">
            <v>5.156620156177409</v>
          </cell>
          <cell r="T99">
            <v>52</v>
          </cell>
          <cell r="AD99">
            <v>7.4484513367006997</v>
          </cell>
        </row>
        <row r="100">
          <cell r="H100">
            <v>56</v>
          </cell>
          <cell r="R100">
            <v>5.3476060878876837</v>
          </cell>
          <cell r="T100">
            <v>54</v>
          </cell>
          <cell r="AD100">
            <v>7.7349302342661126</v>
          </cell>
        </row>
        <row r="101">
          <cell r="H101">
            <v>58</v>
          </cell>
          <cell r="R101">
            <v>5.5385920195979566</v>
          </cell>
          <cell r="T101">
            <v>56</v>
          </cell>
          <cell r="AD101">
            <v>8.0214091318315255</v>
          </cell>
        </row>
        <row r="102">
          <cell r="H102">
            <v>60</v>
          </cell>
          <cell r="R102">
            <v>5.7295779513082339</v>
          </cell>
          <cell r="T102">
            <v>58</v>
          </cell>
          <cell r="AD102">
            <v>8.3078880293969366</v>
          </cell>
        </row>
        <row r="103">
          <cell r="H103">
            <v>62</v>
          </cell>
          <cell r="R103">
            <v>5.9205638830185068</v>
          </cell>
          <cell r="T103">
            <v>60</v>
          </cell>
          <cell r="AD103">
            <v>8.5943669269623513</v>
          </cell>
        </row>
        <row r="104">
          <cell r="H104">
            <v>64</v>
          </cell>
          <cell r="Q104">
            <v>24.840289860472158</v>
          </cell>
          <cell r="R104">
            <v>6.1115498147287841</v>
          </cell>
          <cell r="T104">
            <v>62</v>
          </cell>
          <cell r="AD104">
            <v>8.8808458245277624</v>
          </cell>
        </row>
        <row r="105">
          <cell r="H105">
            <v>66</v>
          </cell>
          <cell r="Q105">
            <v>24.087553804094213</v>
          </cell>
          <cell r="R105">
            <v>6.3025357464390552</v>
          </cell>
          <cell r="T105">
            <v>64</v>
          </cell>
          <cell r="AD105">
            <v>9.1673247220931735</v>
          </cell>
        </row>
        <row r="106">
          <cell r="H106">
            <v>68</v>
          </cell>
          <cell r="Q106">
            <v>23.379096339267914</v>
          </cell>
          <cell r="R106">
            <v>6.4935216781493308</v>
          </cell>
          <cell r="T106">
            <v>66</v>
          </cell>
          <cell r="AD106">
            <v>9.4538036196585828</v>
          </cell>
        </row>
        <row r="107">
          <cell r="H107">
            <v>70</v>
          </cell>
          <cell r="Q107">
            <v>22.711122158145972</v>
          </cell>
          <cell r="R107">
            <v>6.6845076098596055</v>
          </cell>
          <cell r="T107">
            <v>68</v>
          </cell>
          <cell r="AD107">
            <v>9.7402825172239957</v>
          </cell>
          <cell r="AH107">
            <v>82</v>
          </cell>
          <cell r="AQ107">
            <v>33.580210039473791</v>
          </cell>
        </row>
        <row r="108">
          <cell r="H108">
            <v>72</v>
          </cell>
          <cell r="Q108">
            <v>22.080257653753034</v>
          </cell>
          <cell r="R108">
            <v>6.8754935415698792</v>
          </cell>
          <cell r="T108">
            <v>70</v>
          </cell>
          <cell r="AD108">
            <v>10.026761414789407</v>
          </cell>
          <cell r="AH108">
            <v>84</v>
          </cell>
          <cell r="AQ108">
            <v>32.780681229010121</v>
          </cell>
        </row>
        <row r="109">
          <cell r="H109">
            <v>74</v>
          </cell>
          <cell r="Q109">
            <v>21.483493933381325</v>
          </cell>
          <cell r="R109">
            <v>7.066479473280153</v>
          </cell>
          <cell r="T109">
            <v>72</v>
          </cell>
          <cell r="AD109">
            <v>10.31324031235482</v>
          </cell>
          <cell r="AH109">
            <v>86</v>
          </cell>
          <cell r="AQ109">
            <v>32.018339805079663</v>
          </cell>
        </row>
        <row r="110">
          <cell r="H110">
            <v>76</v>
          </cell>
          <cell r="Q110">
            <v>20.918138829871292</v>
          </cell>
          <cell r="R110">
            <v>7.2574654049904304</v>
          </cell>
          <cell r="T110">
            <v>74</v>
          </cell>
          <cell r="AC110">
            <v>29.417485603345852</v>
          </cell>
          <cell r="AD110">
            <v>10.599719209920231</v>
          </cell>
          <cell r="AH110">
            <v>88</v>
          </cell>
          <cell r="AQ110">
            <v>31.290650264055124</v>
          </cell>
        </row>
        <row r="111">
          <cell r="H111">
            <v>78</v>
          </cell>
          <cell r="Q111">
            <v>20.381776295772028</v>
          </cell>
          <cell r="R111">
            <v>7.4484513367007033</v>
          </cell>
          <cell r="T111">
            <v>76</v>
          </cell>
          <cell r="AC111">
            <v>28.643341245363068</v>
          </cell>
          <cell r="AD111">
            <v>10.886198107485642</v>
          </cell>
          <cell r="AH111">
            <v>90</v>
          </cell>
          <cell r="AQ111">
            <v>30.595302480409451</v>
          </cell>
        </row>
        <row r="112">
          <cell r="H112">
            <v>80</v>
          </cell>
          <cell r="Q112">
            <v>19.872231888377726</v>
          </cell>
          <cell r="R112">
            <v>7.6394372684109735</v>
          </cell>
          <cell r="T112">
            <v>78</v>
          </cell>
          <cell r="AC112">
            <v>27.908896598046066</v>
          </cell>
          <cell r="AD112">
            <v>11.172677005051055</v>
          </cell>
          <cell r="AH112">
            <v>92</v>
          </cell>
          <cell r="AQ112">
            <v>29.930187209096207</v>
          </cell>
        </row>
        <row r="113">
          <cell r="H113">
            <v>82</v>
          </cell>
          <cell r="Q113">
            <v>19.387543305734372</v>
          </cell>
          <cell r="R113">
            <v>7.8304232001212535</v>
          </cell>
          <cell r="T113">
            <v>80</v>
          </cell>
          <cell r="AC113">
            <v>27.211174183094911</v>
          </cell>
          <cell r="AD113">
            <v>11.459155902616466</v>
          </cell>
          <cell r="AH113">
            <v>94</v>
          </cell>
          <cell r="AQ113">
            <v>29.293374715285644</v>
          </cell>
        </row>
        <row r="114">
          <cell r="H114">
            <v>84</v>
          </cell>
          <cell r="Q114">
            <v>18.925935131788311</v>
          </cell>
          <cell r="R114">
            <v>8.0214091318315237</v>
          </cell>
          <cell r="T114">
            <v>82</v>
          </cell>
          <cell r="AC114">
            <v>26.54748700789748</v>
          </cell>
          <cell r="AD114">
            <v>11.745634800181881</v>
          </cell>
          <cell r="AH114">
            <v>96</v>
          </cell>
          <cell r="AQ114">
            <v>28.683096075383862</v>
          </cell>
        </row>
        <row r="115">
          <cell r="H115">
            <v>86</v>
          </cell>
          <cell r="Q115">
            <v>18.485797105467654</v>
          </cell>
          <cell r="R115">
            <v>8.2123950635418019</v>
          </cell>
          <cell r="T115">
            <v>84</v>
          </cell>
          <cell r="AC115">
            <v>25.915403983899914</v>
          </cell>
          <cell r="AD115">
            <v>12.032113697747288</v>
          </cell>
          <cell r="AH115">
            <v>98</v>
          </cell>
          <cell r="AQ115">
            <v>28.097726767722971</v>
          </cell>
        </row>
        <row r="116">
          <cell r="H116">
            <v>88</v>
          </cell>
          <cell r="Q116">
            <v>18.065665353070663</v>
          </cell>
          <cell r="R116">
            <v>8.4033809952520748</v>
          </cell>
          <cell r="T116">
            <v>86</v>
          </cell>
          <cell r="AC116">
            <v>25.312720170320851</v>
          </cell>
          <cell r="AD116">
            <v>12.318592595312701</v>
          </cell>
          <cell r="AH116">
            <v>100</v>
          </cell>
          <cell r="AQ116">
            <v>27.535772232368505</v>
          </cell>
        </row>
        <row r="117">
          <cell r="H117">
            <v>90</v>
          </cell>
          <cell r="Q117">
            <v>17.664206123002426</v>
          </cell>
          <cell r="R117">
            <v>8.5943669269623495</v>
          </cell>
          <cell r="T117">
            <v>88</v>
          </cell>
          <cell r="AC117">
            <v>24.737431075540833</v>
          </cell>
          <cell r="AD117">
            <v>12.605071492878112</v>
          </cell>
          <cell r="AH117">
            <v>102</v>
          </cell>
          <cell r="AQ117">
            <v>26.995855129773044</v>
          </cell>
        </row>
        <row r="118">
          <cell r="H118">
            <v>92</v>
          </cell>
          <cell r="Q118">
            <v>17.280201642067592</v>
          </cell>
          <cell r="R118">
            <v>8.7853528586726242</v>
          </cell>
          <cell r="T118">
            <v>90</v>
          </cell>
          <cell r="AC118">
            <v>24.187710384973258</v>
          </cell>
          <cell r="AD118">
            <v>12.891550390443523</v>
          </cell>
          <cell r="AH118">
            <v>104</v>
          </cell>
          <cell r="AQ118">
            <v>26.4767040695851</v>
          </cell>
        </row>
        <row r="119">
          <cell r="H119">
            <v>94</v>
          </cell>
          <cell r="Q119">
            <v>16.912537777342749</v>
          </cell>
          <cell r="R119">
            <v>8.9763387903828988</v>
          </cell>
          <cell r="T119">
            <v>92</v>
          </cell>
          <cell r="AC119">
            <v>23.661890593995579</v>
          </cell>
          <cell r="AD119">
            <v>13.178029288008936</v>
          </cell>
          <cell r="AH119">
            <v>106</v>
          </cell>
          <cell r="AQ119">
            <v>25.977143615441985</v>
          </cell>
        </row>
        <row r="120">
          <cell r="H120">
            <v>96</v>
          </cell>
          <cell r="Q120">
            <v>16.560193240314774</v>
          </cell>
          <cell r="R120">
            <v>9.1673247220931735</v>
          </cell>
          <cell r="T120">
            <v>94</v>
          </cell>
          <cell r="AC120">
            <v>23.158446113272266</v>
          </cell>
          <cell r="AD120">
            <v>13.464508185574346</v>
          </cell>
          <cell r="AH120">
            <v>108</v>
          </cell>
          <cell r="AQ120">
            <v>25.496085400341208</v>
          </cell>
        </row>
        <row r="121">
          <cell r="H121">
            <v>98</v>
          </cell>
          <cell r="Q121">
            <v>16.222230112961412</v>
          </cell>
          <cell r="R121">
            <v>9.3583106538034482</v>
          </cell>
          <cell r="T121">
            <v>96</v>
          </cell>
          <cell r="AC121">
            <v>22.675978485912431</v>
          </cell>
          <cell r="AD121">
            <v>13.750987083139758</v>
          </cell>
          <cell r="AH121">
            <v>110</v>
          </cell>
          <cell r="AQ121">
            <v>25.032520211244094</v>
          </cell>
        </row>
        <row r="122">
          <cell r="H122">
            <v>100</v>
          </cell>
          <cell r="Q122">
            <v>15.897785510702182</v>
          </cell>
          <cell r="R122">
            <v>9.5492965855137211</v>
          </cell>
          <cell r="T122">
            <v>98</v>
          </cell>
          <cell r="AC122">
            <v>22.21320341477136</v>
          </cell>
          <cell r="AD122">
            <v>14.037465980705173</v>
          </cell>
          <cell r="AH122">
            <v>112</v>
          </cell>
          <cell r="AQ122">
            <v>24.585510921757596</v>
          </cell>
        </row>
        <row r="123">
          <cell r="H123">
            <v>102</v>
          </cell>
          <cell r="Q123">
            <v>15.586064226178609</v>
          </cell>
          <cell r="R123">
            <v>9.7402825172239922</v>
          </cell>
          <cell r="T123">
            <v>100</v>
          </cell>
          <cell r="AC123">
            <v>21.768939346475928</v>
          </cell>
          <cell r="AD123">
            <v>14.323944878270582</v>
          </cell>
          <cell r="AH123">
            <v>114</v>
          </cell>
          <cell r="AQ123">
            <v>24.154186168744307</v>
          </cell>
        </row>
        <row r="124">
          <cell r="H124">
            <v>104</v>
          </cell>
          <cell r="Q124">
            <v>15.286332221829019</v>
          </cell>
          <cell r="R124">
            <v>9.9312684489342722</v>
          </cell>
          <cell r="T124">
            <v>102</v>
          </cell>
          <cell r="AC124">
            <v>21.342097398505814</v>
          </cell>
          <cell r="AD124">
            <v>14.61042377583599</v>
          </cell>
          <cell r="AH124">
            <v>116</v>
          </cell>
          <cell r="AQ124">
            <v>23.737734683076297</v>
          </cell>
        </row>
        <row r="125">
          <cell r="H125">
            <v>106</v>
          </cell>
          <cell r="Q125">
            <v>14.997910859153002</v>
          </cell>
          <cell r="R125">
            <v>10.122254380644547</v>
          </cell>
          <cell r="T125">
            <v>104</v>
          </cell>
          <cell r="AC125">
            <v>20.931672448534545</v>
          </cell>
          <cell r="AD125">
            <v>14.896902673401401</v>
          </cell>
          <cell r="AH125">
            <v>118</v>
          </cell>
          <cell r="AQ125">
            <v>23.335400196922464</v>
          </cell>
        </row>
        <row r="126">
          <cell r="H126">
            <v>108</v>
          </cell>
          <cell r="Q126">
            <v>14.720171769168687</v>
          </cell>
          <cell r="R126">
            <v>10.31324031235482</v>
          </cell>
          <cell r="T126">
            <v>106</v>
          </cell>
          <cell r="AC126">
            <v>20.536735232524464</v>
          </cell>
          <cell r="AD126">
            <v>15.183381570966816</v>
          </cell>
          <cell r="AH126">
            <v>120</v>
          </cell>
          <cell r="AQ126">
            <v>22.94647686030709</v>
          </cell>
        </row>
        <row r="127">
          <cell r="H127">
            <v>110</v>
          </cell>
          <cell r="Q127">
            <v>14.452532282456527</v>
          </cell>
          <cell r="R127">
            <v>10.504226244065093</v>
          </cell>
          <cell r="T127">
            <v>108</v>
          </cell>
          <cell r="AC127">
            <v>20.156425320811046</v>
          </cell>
          <cell r="AD127">
            <v>15.469860468532229</v>
          </cell>
          <cell r="AH127">
            <v>122</v>
          </cell>
          <cell r="AQ127">
            <v>22.570305108498776</v>
          </cell>
        </row>
        <row r="128">
          <cell r="H128">
            <v>112</v>
          </cell>
          <cell r="Q128">
            <v>14.194451348841234</v>
          </cell>
          <cell r="R128">
            <v>10.695212175775367</v>
          </cell>
          <cell r="T128">
            <v>110</v>
          </cell>
          <cell r="AC128">
            <v>19.789944860432662</v>
          </cell>
          <cell r="AD128">
            <v>15.756339366097638</v>
          </cell>
          <cell r="AH128">
            <v>124</v>
          </cell>
          <cell r="AQ128">
            <v>22.206267929329439</v>
          </cell>
        </row>
        <row r="129">
          <cell r="H129">
            <v>114</v>
          </cell>
          <cell r="Q129">
            <v>13.945425886580864</v>
          </cell>
          <cell r="R129">
            <v>10.886198107485644</v>
          </cell>
          <cell r="T129">
            <v>112</v>
          </cell>
          <cell r="AC129">
            <v>19.436552987924937</v>
          </cell>
          <cell r="AD129">
            <v>16.042818263663051</v>
          </cell>
          <cell r="AH129">
            <v>126</v>
          </cell>
          <cell r="AQ129">
            <v>21.853787486006752</v>
          </cell>
        </row>
        <row r="130">
          <cell r="H130">
            <v>116</v>
          </cell>
          <cell r="Q130">
            <v>13.704987509226017</v>
          </cell>
          <cell r="R130">
            <v>11.077184039195915</v>
          </cell>
          <cell r="T130">
            <v>114</v>
          </cell>
          <cell r="AC130">
            <v>19.095560830242047</v>
          </cell>
          <cell r="AD130">
            <v>16.329297161228464</v>
          </cell>
          <cell r="AH130">
            <v>128</v>
          </cell>
          <cell r="AQ130">
            <v>21.512322056537894</v>
          </cell>
        </row>
        <row r="131">
          <cell r="H131">
            <v>118</v>
          </cell>
          <cell r="Q131">
            <v>13.472699585340832</v>
          </cell>
          <cell r="R131">
            <v>11.26816997090619</v>
          </cell>
          <cell r="T131">
            <v>116</v>
          </cell>
          <cell r="AC131">
            <v>18.766327022824075</v>
          </cell>
          <cell r="AD131">
            <v>16.615776058793873</v>
          </cell>
          <cell r="AH131">
            <v>130</v>
          </cell>
          <cell r="AQ131">
            <v>21.181363255668085</v>
          </cell>
        </row>
        <row r="132">
          <cell r="H132">
            <v>120</v>
          </cell>
          <cell r="Q132">
            <v>13.248154592251819</v>
          </cell>
          <cell r="R132">
            <v>11.459155902616466</v>
          </cell>
          <cell r="T132">
            <v>118</v>
          </cell>
          <cell r="AC132">
            <v>18.44825368345418</v>
          </cell>
          <cell r="AD132">
            <v>16.902254956359286</v>
          </cell>
          <cell r="AH132">
            <v>132</v>
          </cell>
          <cell r="AQ132">
            <v>20.860433509370079</v>
          </cell>
        </row>
        <row r="133">
          <cell r="H133">
            <v>122</v>
          </cell>
          <cell r="Q133">
            <v>13.030971730083756</v>
          </cell>
          <cell r="R133">
            <v>11.650141834326741</v>
          </cell>
          <cell r="T133">
            <v>120</v>
          </cell>
          <cell r="AC133">
            <v>18.140782788729943</v>
          </cell>
          <cell r="AD133">
            <v>17.188733853924703</v>
          </cell>
          <cell r="AH133">
            <v>134</v>
          </cell>
          <cell r="AQ133">
            <v>20.549083755498884</v>
          </cell>
        </row>
        <row r="134">
          <cell r="H134">
            <v>124</v>
          </cell>
          <cell r="Q134">
            <v>12.820794766695307</v>
          </cell>
          <cell r="R134">
            <v>11.841127766037014</v>
          </cell>
          <cell r="T134">
            <v>122</v>
          </cell>
          <cell r="AC134">
            <v>17.843392906947486</v>
          </cell>
          <cell r="AD134">
            <v>17.475212751490108</v>
          </cell>
          <cell r="AH134">
            <v>136</v>
          </cell>
          <cell r="AQ134">
            <v>20.246891347329782</v>
          </cell>
        </row>
        <row r="135">
          <cell r="H135">
            <v>126</v>
          </cell>
          <cell r="Q135">
            <v>12.617290087858875</v>
          </cell>
          <cell r="R135">
            <v>12.032113697747288</v>
          </cell>
          <cell r="T135">
            <v>124</v>
          </cell>
          <cell r="AC135">
            <v>17.555596247158007</v>
          </cell>
          <cell r="AD135">
            <v>17.761691649055525</v>
          </cell>
          <cell r="AH135">
            <v>138</v>
          </cell>
          <cell r="AQ135">
            <v>19.953458139397469</v>
          </cell>
        </row>
        <row r="136">
          <cell r="H136">
            <v>128</v>
          </cell>
          <cell r="Q136">
            <v>12.420144930236079</v>
          </cell>
          <cell r="R136">
            <v>12.223099629457563</v>
          </cell>
          <cell r="T136">
            <v>126</v>
          </cell>
          <cell r="AC136">
            <v>17.276935989266612</v>
          </cell>
          <cell r="AD136">
            <v>18.048170546620938</v>
          </cell>
          <cell r="AH136">
            <v>140</v>
          </cell>
          <cell r="AQ136">
            <v>19.668408737406075</v>
          </cell>
        </row>
        <row r="137">
          <cell r="H137">
            <v>130</v>
          </cell>
          <cell r="Q137">
            <v>12.229065777463218</v>
          </cell>
          <cell r="R137">
            <v>12.414085561167841</v>
          </cell>
          <cell r="T137">
            <v>128</v>
          </cell>
          <cell r="AC137">
            <v>17.006983864434321</v>
          </cell>
          <cell r="AD137">
            <v>18.334649444186347</v>
          </cell>
          <cell r="AH137">
            <v>142</v>
          </cell>
          <cell r="AQ137">
            <v>19.391388896034158</v>
          </cell>
        </row>
        <row r="138">
          <cell r="H138">
            <v>132</v>
          </cell>
          <cell r="Q138">
            <v>12.043776902047107</v>
          </cell>
          <cell r="R138">
            <v>12.60507149287811</v>
          </cell>
          <cell r="T138">
            <v>130</v>
          </cell>
          <cell r="AC138">
            <v>16.745337958827641</v>
          </cell>
          <cell r="AD138">
            <v>18.62112834175176</v>
          </cell>
          <cell r="AH138">
            <v>144</v>
          </cell>
          <cell r="AQ138">
            <v>19.122064050255908</v>
          </cell>
        </row>
        <row r="139">
          <cell r="H139">
            <v>134</v>
          </cell>
          <cell r="Q139">
            <v>11.864019037837449</v>
          </cell>
          <cell r="R139">
            <v>12.796057424588387</v>
          </cell>
          <cell r="T139">
            <v>132</v>
          </cell>
          <cell r="AC139">
            <v>16.491620717027217</v>
          </cell>
          <cell r="AD139">
            <v>18.907607239317166</v>
          </cell>
          <cell r="AH139">
            <v>146</v>
          </cell>
          <cell r="AQ139">
            <v>18.86011796737569</v>
          </cell>
        </row>
        <row r="140">
          <cell r="H140">
            <v>136</v>
          </cell>
          <cell r="Q140">
            <v>11.689548169633957</v>
          </cell>
          <cell r="R140">
            <v>12.98704335629866</v>
          </cell>
          <cell r="T140">
            <v>134</v>
          </cell>
          <cell r="AC140">
            <v>16.245477124235769</v>
          </cell>
          <cell r="AD140">
            <v>19.194086136882579</v>
          </cell>
          <cell r="AH140">
            <v>148</v>
          </cell>
          <cell r="AQ140">
            <v>18.6052515083571</v>
          </cell>
        </row>
        <row r="141">
          <cell r="H141">
            <v>138</v>
          </cell>
          <cell r="Q141">
            <v>11.520134428045059</v>
          </cell>
          <cell r="R141">
            <v>13.178029288008934</v>
          </cell>
          <cell r="T141">
            <v>136</v>
          </cell>
          <cell r="AC141">
            <v>16.00657304887936</v>
          </cell>
          <cell r="AD141">
            <v>19.480565034447995</v>
          </cell>
          <cell r="AH141">
            <v>150</v>
          </cell>
          <cell r="AQ141">
            <v>18.357181488245672</v>
          </cell>
        </row>
        <row r="142">
          <cell r="H142">
            <v>140</v>
          </cell>
          <cell r="Q142">
            <v>11.355561079072986</v>
          </cell>
          <cell r="R142">
            <v>13.369015219719211</v>
          </cell>
          <cell r="T142">
            <v>138</v>
          </cell>
          <cell r="AC142">
            <v>15.774593729330384</v>
          </cell>
          <cell r="AD142">
            <v>19.767043932013401</v>
          </cell>
          <cell r="AH142">
            <v>152</v>
          </cell>
          <cell r="AQ142">
            <v>18.115639626558231</v>
          </cell>
        </row>
        <row r="143">
          <cell r="H143">
            <v>142</v>
          </cell>
          <cell r="Q143">
            <v>11.195623599086042</v>
          </cell>
          <cell r="R143">
            <v>13.560001151429484</v>
          </cell>
          <cell r="T143">
            <v>140</v>
          </cell>
          <cell r="AC143">
            <v>15.54924239033995</v>
          </cell>
          <cell r="AH143">
            <v>154</v>
          </cell>
          <cell r="AQ143">
            <v>17.880371579460068</v>
          </cell>
        </row>
        <row r="144">
          <cell r="H144">
            <v>144</v>
          </cell>
          <cell r="Q144">
            <v>11.040128826876517</v>
          </cell>
          <cell r="R144">
            <v>13.75098708313976</v>
          </cell>
          <cell r="T144">
            <v>142</v>
          </cell>
          <cell r="AC144">
            <v>15.330238976391501</v>
          </cell>
          <cell r="AH144">
            <v>156</v>
          </cell>
          <cell r="AQ144">
            <v>17.651136046390068</v>
          </cell>
        </row>
        <row r="145">
          <cell r="H145">
            <v>146</v>
          </cell>
          <cell r="Q145">
            <v>10.888894185412454</v>
          </cell>
          <cell r="R145">
            <v>13.941973014850033</v>
          </cell>
          <cell r="T145">
            <v>144</v>
          </cell>
          <cell r="AC145">
            <v>15.117318990608286</v>
          </cell>
          <cell r="AH145">
            <v>158</v>
          </cell>
          <cell r="AQ145">
            <v>17.427703944537029</v>
          </cell>
        </row>
        <row r="146">
          <cell r="H146">
            <v>148</v>
          </cell>
          <cell r="Q146">
            <v>10.741746966690663</v>
          </cell>
          <cell r="R146">
            <v>14.132958946560308</v>
          </cell>
          <cell r="T146">
            <v>146</v>
          </cell>
          <cell r="AC146">
            <v>14.910232429093103</v>
          </cell>
          <cell r="AH146">
            <v>160</v>
          </cell>
          <cell r="AQ146">
            <v>17.209857645230315</v>
          </cell>
        </row>
        <row r="147">
          <cell r="H147">
            <v>150</v>
          </cell>
          <cell r="Q147">
            <v>10.598523673801456</v>
          </cell>
          <cell r="R147">
            <v>14.323944878270584</v>
          </cell>
          <cell r="T147">
            <v>148</v>
          </cell>
          <cell r="AC147">
            <v>14.708742801672926</v>
          </cell>
          <cell r="AH147">
            <v>162</v>
          </cell>
          <cell r="AQ147">
            <v>16.99739026689414</v>
          </cell>
        </row>
        <row r="148">
          <cell r="H148">
            <v>152</v>
          </cell>
          <cell r="Q148">
            <v>10.459069414935646</v>
          </cell>
          <cell r="R148">
            <v>14.514930809980861</v>
          </cell>
          <cell r="T148">
            <v>150</v>
          </cell>
          <cell r="AC148">
            <v>14.512626230983955</v>
          </cell>
          <cell r="AH148">
            <v>164</v>
          </cell>
          <cell r="AQ148">
            <v>16.790105019736895</v>
          </cell>
        </row>
        <row r="149">
          <cell r="H149">
            <v>154</v>
          </cell>
          <cell r="Q149">
            <v>10.323237344611806</v>
          </cell>
          <cell r="R149">
            <v>14.705916741691135</v>
          </cell>
          <cell r="T149">
            <v>152</v>
          </cell>
          <cell r="AC149">
            <v>14.321670622681534</v>
          </cell>
          <cell r="AH149">
            <v>166</v>
          </cell>
          <cell r="AQ149">
            <v>16.587814597812351</v>
          </cell>
        </row>
        <row r="150">
          <cell r="H150">
            <v>156</v>
          </cell>
          <cell r="Q150">
            <v>10.190888147886014</v>
          </cell>
          <cell r="R150">
            <v>14.89690267340141</v>
          </cell>
          <cell r="T150">
            <v>154</v>
          </cell>
          <cell r="AC150">
            <v>14.135674900309045</v>
          </cell>
          <cell r="AH150">
            <v>168</v>
          </cell>
          <cell r="AQ150">
            <v>16.39034061450506</v>
          </cell>
        </row>
        <row r="151">
          <cell r="H151">
            <v>158</v>
          </cell>
          <cell r="Q151">
            <v>10.061889563735559</v>
          </cell>
          <cell r="R151">
            <v>15.087888605111681</v>
          </cell>
          <cell r="T151">
            <v>156</v>
          </cell>
          <cell r="AC151">
            <v>13.954448299023033</v>
          </cell>
          <cell r="AH151">
            <v>170</v>
          </cell>
          <cell r="AQ151">
            <v>16.197513077863825</v>
          </cell>
        </row>
        <row r="152">
          <cell r="H152">
            <v>160</v>
          </cell>
          <cell r="Q152">
            <v>9.9361159441888631</v>
          </cell>
          <cell r="R152">
            <v>15.278874536821954</v>
          </cell>
          <cell r="T152">
            <v>158</v>
          </cell>
          <cell r="AC152">
            <v>13.777809712959449</v>
          </cell>
          <cell r="AH152">
            <v>172</v>
          </cell>
          <cell r="AQ152">
            <v>16.009169902539831</v>
          </cell>
        </row>
        <row r="153">
          <cell r="H153">
            <v>162</v>
          </cell>
          <cell r="Q153">
            <v>9.8134478461124584</v>
          </cell>
          <cell r="R153">
            <v>15.469860468532231</v>
          </cell>
          <cell r="T153">
            <v>160</v>
          </cell>
          <cell r="AC153">
            <v>13.605587091547456</v>
          </cell>
          <cell r="AH153">
            <v>174</v>
          </cell>
          <cell r="AQ153">
            <v>15.825156455384201</v>
          </cell>
        </row>
        <row r="154">
          <cell r="H154">
            <v>164</v>
          </cell>
          <cell r="Q154">
            <v>9.693771652867186</v>
          </cell>
          <cell r="R154">
            <v>15.660846400242503</v>
          </cell>
          <cell r="T154">
            <v>162</v>
          </cell>
          <cell r="AC154">
            <v>13.437616880540698</v>
          </cell>
          <cell r="AH154">
            <v>176</v>
          </cell>
          <cell r="AQ154">
            <v>15.645325132027562</v>
          </cell>
        </row>
        <row r="155">
          <cell r="H155">
            <v>166</v>
          </cell>
          <cell r="Q155">
            <v>9.5769792233145665</v>
          </cell>
          <cell r="R155">
            <v>15.851832331952776</v>
          </cell>
          <cell r="T155">
            <v>164</v>
          </cell>
          <cell r="AC155">
            <v>13.27374350394874</v>
          </cell>
          <cell r="AH155">
            <v>178</v>
          </cell>
          <cell r="AQ155">
            <v>15.469534962004778</v>
          </cell>
        </row>
        <row r="156">
          <cell r="H156">
            <v>168</v>
          </cell>
          <cell r="Q156">
            <v>9.4629675658941554</v>
          </cell>
          <cell r="R156">
            <v>16.042818263663047</v>
          </cell>
          <cell r="T156">
            <v>166</v>
          </cell>
          <cell r="AC156">
            <v>13.113818883419233</v>
          </cell>
          <cell r="AH156">
            <v>180</v>
          </cell>
          <cell r="AQ156">
            <v>15.297651240204726</v>
          </cell>
        </row>
        <row r="157">
          <cell r="H157">
            <v>170</v>
          </cell>
          <cell r="Q157">
            <v>9.3516385357071652</v>
          </cell>
          <cell r="R157">
            <v>16.233804195373327</v>
          </cell>
          <cell r="T157">
            <v>168</v>
          </cell>
          <cell r="AC157">
            <v>12.957701991949957</v>
          </cell>
          <cell r="AH157">
            <v>182</v>
          </cell>
          <cell r="AQ157">
            <v>15.12954518262006</v>
          </cell>
        </row>
        <row r="158">
          <cell r="H158">
            <v>172</v>
          </cell>
          <cell r="Q158">
            <v>9.242898552733827</v>
          </cell>
          <cell r="T158">
            <v>170</v>
          </cell>
          <cell r="AC158">
            <v>12.805258439103488</v>
          </cell>
          <cell r="AH158">
            <v>184</v>
          </cell>
          <cell r="AQ158">
            <v>14.965093604548104</v>
          </cell>
        </row>
        <row r="159">
          <cell r="A159">
            <v>47</v>
          </cell>
          <cell r="B159">
            <v>14.701599999999999</v>
          </cell>
          <cell r="H159">
            <v>174</v>
          </cell>
          <cell r="Q159">
            <v>9.1366583394840131</v>
          </cell>
          <cell r="T159">
            <v>172</v>
          </cell>
          <cell r="AC159">
            <v>12.656360085160426</v>
          </cell>
          <cell r="AH159">
            <v>186</v>
          </cell>
          <cell r="AQ159">
            <v>14.804178619552962</v>
          </cell>
        </row>
        <row r="160">
          <cell r="A160">
            <v>81.81</v>
          </cell>
          <cell r="B160">
            <v>15.3523</v>
          </cell>
          <cell r="H160">
            <v>176</v>
          </cell>
          <cell r="Q160">
            <v>9.0328326765353317</v>
          </cell>
          <cell r="T160">
            <v>174</v>
          </cell>
          <cell r="AC160">
            <v>12.51088468188272</v>
          </cell>
          <cell r="AH160">
            <v>188</v>
          </cell>
          <cell r="AQ160">
            <v>14.646687357642822</v>
          </cell>
        </row>
        <row r="161">
          <cell r="A161">
            <v>90.9</v>
          </cell>
          <cell r="B161">
            <v>15.516999999999999</v>
          </cell>
          <cell r="H161">
            <v>178</v>
          </cell>
          <cell r="Q161">
            <v>8.9313401745517869</v>
          </cell>
          <cell r="T161">
            <v>176</v>
          </cell>
          <cell r="AC161">
            <v>12.368715537770417</v>
          </cell>
          <cell r="AH161">
            <v>190</v>
          </cell>
          <cell r="AQ161">
            <v>14.492511701246581</v>
          </cell>
        </row>
        <row r="162">
          <cell r="A162">
            <v>99.99</v>
          </cell>
          <cell r="B162">
            <v>15.195699999999999</v>
          </cell>
          <cell r="H162">
            <v>180</v>
          </cell>
          <cell r="Q162">
            <v>8.832103061501213</v>
          </cell>
          <cell r="T162">
            <v>178</v>
          </cell>
          <cell r="AC162">
            <v>12.229741205885354</v>
          </cell>
          <cell r="AH162">
            <v>192</v>
          </cell>
          <cell r="AQ162">
            <v>14.341548037691931</v>
          </cell>
        </row>
        <row r="163">
          <cell r="A163">
            <v>109.08</v>
          </cell>
          <cell r="B163">
            <v>14.388400000000004</v>
          </cell>
          <cell r="H163">
            <v>182</v>
          </cell>
          <cell r="Q163">
            <v>8.7350469839022988</v>
          </cell>
          <cell r="T163">
            <v>180</v>
          </cell>
          <cell r="AC163">
            <v>12.093855192486629</v>
          </cell>
          <cell r="AH163">
            <v>194</v>
          </cell>
          <cell r="AQ163">
            <v>14.193697026994077</v>
          </cell>
        </row>
        <row r="164">
          <cell r="A164">
            <v>118.17</v>
          </cell>
          <cell r="B164">
            <v>13.095100000000002</v>
          </cell>
          <cell r="H164">
            <v>184</v>
          </cell>
          <cell r="Q164">
            <v>8.640100821033796</v>
          </cell>
          <cell r="T164">
            <v>182</v>
          </cell>
          <cell r="AC164">
            <v>11.960955684876886</v>
          </cell>
          <cell r="AH164">
            <v>196</v>
          </cell>
          <cell r="AQ164">
            <v>14.048863383861486</v>
          </cell>
        </row>
        <row r="165">
          <cell r="A165">
            <v>127.26</v>
          </cell>
          <cell r="B165">
            <v>11.315799999999996</v>
          </cell>
          <cell r="H165">
            <v>186</v>
          </cell>
          <cell r="Q165">
            <v>8.5471965111302062</v>
          </cell>
          <cell r="T165">
            <v>184</v>
          </cell>
          <cell r="AC165">
            <v>11.83094529699779</v>
          </cell>
          <cell r="AH165">
            <v>198</v>
          </cell>
          <cell r="AQ165">
            <v>13.906955672913385</v>
          </cell>
        </row>
        <row r="166">
          <cell r="A166">
            <v>136.35</v>
          </cell>
          <cell r="B166">
            <v>9.0504999999999924</v>
          </cell>
          <cell r="H166">
            <v>188</v>
          </cell>
          <cell r="Q166">
            <v>8.4562688886713744</v>
          </cell>
          <cell r="T166">
            <v>186</v>
          </cell>
          <cell r="AC166">
            <v>11.703730831438675</v>
          </cell>
          <cell r="AH166">
            <v>200</v>
          </cell>
          <cell r="AQ166">
            <v>13.767886116184252</v>
          </cell>
        </row>
        <row r="167">
          <cell r="A167">
            <v>145.44</v>
          </cell>
          <cell r="B167">
            <v>6.299199999999999</v>
          </cell>
          <cell r="H167">
            <v>190</v>
          </cell>
          <cell r="Q167">
            <v>8.3672555319485156</v>
          </cell>
          <cell r="T167">
            <v>188</v>
          </cell>
          <cell r="AC167">
            <v>11.579223056636133</v>
          </cell>
        </row>
        <row r="168">
          <cell r="A168">
            <v>156.55000000000001</v>
          </cell>
          <cell r="B168">
            <v>0</v>
          </cell>
        </row>
        <row r="173">
          <cell r="A173">
            <v>58</v>
          </cell>
          <cell r="B173">
            <v>22.052399999999999</v>
          </cell>
        </row>
        <row r="174">
          <cell r="A174">
            <v>89.991000000000014</v>
          </cell>
          <cell r="B174">
            <v>23.028449999999999</v>
          </cell>
        </row>
        <row r="175">
          <cell r="A175">
            <v>99.990000000000009</v>
          </cell>
          <cell r="B175">
            <v>23.275500000000001</v>
          </cell>
        </row>
        <row r="176">
          <cell r="A176">
            <v>109.989</v>
          </cell>
          <cell r="B176">
            <v>22.793549999999996</v>
          </cell>
        </row>
        <row r="177">
          <cell r="A177">
            <v>119.98800000000001</v>
          </cell>
          <cell r="B177">
            <v>21.582600000000006</v>
          </cell>
        </row>
        <row r="178">
          <cell r="A178">
            <v>129.98700000000002</v>
          </cell>
          <cell r="B178">
            <v>19.642650000000003</v>
          </cell>
        </row>
        <row r="179">
          <cell r="A179">
            <v>139.98600000000002</v>
          </cell>
          <cell r="B179">
            <v>16.973699999999994</v>
          </cell>
        </row>
        <row r="180">
          <cell r="A180">
            <v>149.98500000000001</v>
          </cell>
          <cell r="B180">
            <v>13.575749999999989</v>
          </cell>
        </row>
        <row r="181">
          <cell r="A181">
            <v>159.98400000000001</v>
          </cell>
          <cell r="B181">
            <v>9.4487999999999985</v>
          </cell>
        </row>
        <row r="182">
          <cell r="A182">
            <v>172.20500000000001</v>
          </cell>
          <cell r="B182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920B-EEE3-4FFB-9F34-A6C97AA4E54F}">
  <sheetPr codeName="Sheet18"/>
  <dimension ref="A1:AS182"/>
  <sheetViews>
    <sheetView tabSelected="1" topLeftCell="A164" workbookViewId="0">
      <selection activeCell="F173" sqref="F173"/>
    </sheetView>
  </sheetViews>
  <sheetFormatPr defaultRowHeight="15"/>
  <cols>
    <col min="1" max="1" width="15.42578125" bestFit="1" customWidth="1"/>
    <col min="2" max="2" width="13.85546875" customWidth="1"/>
    <col min="3" max="3" width="13.85546875" bestFit="1" customWidth="1"/>
    <col min="4" max="4" width="15" bestFit="1" customWidth="1"/>
    <col min="6" max="6" width="19.7109375" customWidth="1"/>
    <col min="8" max="8" width="12.85546875" bestFit="1" customWidth="1"/>
    <col min="13" max="13" width="9.28515625" customWidth="1"/>
    <col min="14" max="14" width="11" bestFit="1" customWidth="1"/>
    <col min="15" max="15" width="10.42578125" bestFit="1" customWidth="1"/>
    <col min="16" max="18" width="34.140625" bestFit="1" customWidth="1"/>
    <col min="19" max="21" width="12.85546875" bestFit="1" customWidth="1"/>
    <col min="25" max="25" width="12" bestFit="1" customWidth="1"/>
    <col min="26" max="26" width="10.42578125" bestFit="1" customWidth="1"/>
    <col min="27" max="27" width="13.7109375" bestFit="1" customWidth="1"/>
    <col min="28" max="28" width="26.5703125" bestFit="1" customWidth="1"/>
    <col min="29" max="29" width="34.140625" bestFit="1" customWidth="1"/>
    <col min="30" max="30" width="30.42578125" bestFit="1" customWidth="1"/>
    <col min="34" max="34" width="12.85546875" bestFit="1" customWidth="1"/>
    <col min="36" max="36" width="12.7109375" bestFit="1" customWidth="1"/>
    <col min="37" max="37" width="12" bestFit="1" customWidth="1"/>
    <col min="38" max="38" width="13.7109375" bestFit="1" customWidth="1"/>
    <col min="40" max="40" width="12.7109375" bestFit="1" customWidth="1"/>
    <col min="41" max="41" width="12" bestFit="1" customWidth="1"/>
    <col min="42" max="42" width="26.5703125" bestFit="1" customWidth="1"/>
    <col min="43" max="43" width="34.28515625" bestFit="1" customWidth="1"/>
    <col min="44" max="44" width="30.42578125" bestFit="1" customWidth="1"/>
    <col min="45" max="45" width="13.7109375" bestFit="1" customWidth="1"/>
  </cols>
  <sheetData>
    <row r="1" spans="1:45" ht="15" customHeight="1">
      <c r="A1" s="1" t="s">
        <v>0</v>
      </c>
      <c r="B1" s="2"/>
      <c r="C1" s="2"/>
      <c r="D1" s="3"/>
      <c r="F1" s="4" t="s">
        <v>1</v>
      </c>
    </row>
    <row r="2" spans="1:45" ht="15" customHeight="1" thickBot="1">
      <c r="A2" s="5"/>
      <c r="B2" s="6"/>
      <c r="C2" s="6"/>
      <c r="D2" s="7"/>
      <c r="F2" s="4" t="s">
        <v>2</v>
      </c>
    </row>
    <row r="3" spans="1:45" ht="30.75" thickBot="1">
      <c r="A3" s="8" t="s">
        <v>3</v>
      </c>
      <c r="B3">
        <v>1000</v>
      </c>
      <c r="C3" s="9" t="s">
        <v>4</v>
      </c>
      <c r="D3" s="10"/>
      <c r="F3" s="4" t="s">
        <v>5</v>
      </c>
    </row>
    <row r="4" spans="1:45" ht="27" customHeight="1" thickBot="1">
      <c r="A4" s="8" t="s">
        <v>6</v>
      </c>
      <c r="B4">
        <v>8.1</v>
      </c>
      <c r="C4" s="8" t="s">
        <v>7</v>
      </c>
      <c r="D4" s="11">
        <v>1</v>
      </c>
      <c r="F4" s="4" t="s">
        <v>8</v>
      </c>
    </row>
    <row r="5" spans="1:45" ht="15" customHeight="1">
      <c r="A5" s="8" t="s">
        <v>9</v>
      </c>
      <c r="B5">
        <v>1.7000000000000001E-2</v>
      </c>
      <c r="C5" s="8" t="s">
        <v>10</v>
      </c>
      <c r="D5" s="11">
        <v>1.5</v>
      </c>
      <c r="F5" s="4" t="s">
        <v>11</v>
      </c>
      <c r="H5" s="12" t="s">
        <v>12</v>
      </c>
      <c r="I5" s="13"/>
      <c r="J5" s="13"/>
      <c r="K5" s="13"/>
      <c r="L5" s="13"/>
      <c r="M5" s="13"/>
      <c r="N5" s="13"/>
      <c r="O5" s="13"/>
      <c r="P5" s="13"/>
      <c r="Q5" s="13"/>
      <c r="R5" s="14"/>
      <c r="T5" s="12" t="s">
        <v>13</v>
      </c>
      <c r="U5" s="13"/>
      <c r="V5" s="13"/>
      <c r="W5" s="13"/>
      <c r="X5" s="13"/>
      <c r="Y5" s="13"/>
      <c r="Z5" s="13"/>
      <c r="AA5" s="13"/>
      <c r="AB5" s="13"/>
      <c r="AC5" s="13"/>
      <c r="AD5" s="14"/>
      <c r="AE5" s="15"/>
      <c r="AF5" s="15"/>
      <c r="AH5" s="12" t="s">
        <v>14</v>
      </c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5"/>
    </row>
    <row r="6" spans="1:45" ht="15.75" customHeight="1" thickBot="1">
      <c r="A6" s="8" t="s">
        <v>15</v>
      </c>
      <c r="B6">
        <v>670</v>
      </c>
      <c r="C6" s="8" t="s">
        <v>16</v>
      </c>
      <c r="D6" s="11">
        <v>2</v>
      </c>
      <c r="H6" s="16"/>
      <c r="I6" s="17"/>
      <c r="J6" s="17"/>
      <c r="K6" s="17"/>
      <c r="L6" s="17"/>
      <c r="M6" s="17"/>
      <c r="N6" s="17"/>
      <c r="O6" s="17"/>
      <c r="P6" s="17"/>
      <c r="Q6" s="17"/>
      <c r="R6" s="18"/>
      <c r="T6" s="16"/>
      <c r="U6" s="17"/>
      <c r="V6" s="17"/>
      <c r="W6" s="17"/>
      <c r="X6" s="17"/>
      <c r="Y6" s="17"/>
      <c r="Z6" s="17"/>
      <c r="AA6" s="17"/>
      <c r="AB6" s="17"/>
      <c r="AC6" s="17"/>
      <c r="AD6" s="18"/>
      <c r="AE6" s="15"/>
      <c r="AF6" s="15"/>
      <c r="AH6" s="16"/>
      <c r="AI6" s="17"/>
      <c r="AJ6" s="17"/>
      <c r="AK6" s="17"/>
      <c r="AL6" s="17"/>
      <c r="AM6" s="17"/>
      <c r="AN6" s="17"/>
      <c r="AO6" s="17"/>
      <c r="AP6" s="17"/>
      <c r="AQ6" s="17"/>
      <c r="AR6" s="18"/>
      <c r="AS6" s="15"/>
    </row>
    <row r="7" spans="1:45" ht="15.75" customHeight="1">
      <c r="A7" s="8" t="s">
        <v>17</v>
      </c>
      <c r="B7">
        <v>1.66</v>
      </c>
      <c r="C7" s="8" t="s">
        <v>18</v>
      </c>
      <c r="D7" s="11">
        <v>3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  <c r="M7" t="s">
        <v>24</v>
      </c>
      <c r="N7" t="s">
        <v>25</v>
      </c>
      <c r="O7" t="s">
        <v>26</v>
      </c>
      <c r="P7" t="s">
        <v>27</v>
      </c>
      <c r="Q7" t="s">
        <v>28</v>
      </c>
      <c r="R7" t="s">
        <v>29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  <c r="Z7" t="s">
        <v>25</v>
      </c>
      <c r="AA7" t="s">
        <v>26</v>
      </c>
      <c r="AB7" t="s">
        <v>27</v>
      </c>
      <c r="AC7" t="s">
        <v>30</v>
      </c>
      <c r="AD7" t="s">
        <v>31</v>
      </c>
      <c r="AH7" t="s">
        <v>19</v>
      </c>
      <c r="AI7" t="s">
        <v>20</v>
      </c>
      <c r="AJ7" t="s">
        <v>21</v>
      </c>
      <c r="AK7" t="s">
        <v>22</v>
      </c>
      <c r="AL7" t="s">
        <v>23</v>
      </c>
      <c r="AM7" t="s">
        <v>24</v>
      </c>
      <c r="AN7" t="s">
        <v>25</v>
      </c>
      <c r="AO7" t="s">
        <v>26</v>
      </c>
      <c r="AP7" t="s">
        <v>27</v>
      </c>
      <c r="AQ7" t="s">
        <v>30</v>
      </c>
      <c r="AR7" t="s">
        <v>31</v>
      </c>
    </row>
    <row r="8" spans="1:45">
      <c r="A8" s="8" t="s">
        <v>32</v>
      </c>
      <c r="B8">
        <v>9.81</v>
      </c>
      <c r="C8" s="8" t="s">
        <v>33</v>
      </c>
      <c r="D8" s="11">
        <v>4</v>
      </c>
      <c r="H8">
        <f>50</f>
        <v>50</v>
      </c>
      <c r="I8">
        <f>(2*$B$3*$B$8*$D$4)/($B$10*$B$9*$B$4*H8^2)</f>
        <v>0.90278473372379819</v>
      </c>
      <c r="J8">
        <f>$B$5+(I8^2/($B$13*$B$12*PI()))</f>
        <v>5.5972241323089554E-2</v>
      </c>
      <c r="K8">
        <f>(0.5/$B$8)*$B$10*$B$9*$B$4*J8*H8^2</f>
        <v>61.999543448431801</v>
      </c>
      <c r="L8">
        <f>($B$6*$B$15*75)/(H8)</f>
        <v>753.75</v>
      </c>
      <c r="M8">
        <f>((L8-K8)*H8)/($B$3)</f>
        <v>34.587522827578411</v>
      </c>
      <c r="N8">
        <f>M8*$B$16</f>
        <v>6796.4482356191575</v>
      </c>
      <c r="O8" t="e">
        <f>H8^2/($B$8*SQRT($D$4^2-1))</f>
        <v>#DIV/0!</v>
      </c>
      <c r="P8" t="e">
        <f>SQRT((H8^2/(O8*$B$8))^2+1)</f>
        <v>#DIV/0!</v>
      </c>
      <c r="Q8">
        <f t="shared" ref="Q8:Q71" si="0">((180*$B$8)/(PI()*H8))*SQRT($D$4^2-1)</f>
        <v>0</v>
      </c>
      <c r="R8" t="e">
        <f>((180*$B$8)/(PI()*H8))*SQRT(P8^2-1)</f>
        <v>#DIV/0!</v>
      </c>
      <c r="T8">
        <v>30</v>
      </c>
      <c r="U8">
        <f>(2*$B$3*$B$8*$D$5)/($B$10*$B$9*$B$4*T8^2)</f>
        <v>3.7616030571824925</v>
      </c>
      <c r="V8">
        <f>$B$5+(U8^2/($B$13*$B$12*PI()))</f>
        <v>0.69360141185919377</v>
      </c>
      <c r="W8">
        <f>(0.5/$B$8)*$B$10*$B$9*$B$4*V8*T8^2</f>
        <v>276.58477036863911</v>
      </c>
      <c r="X8">
        <f>($B$6*$B$15*75)/(T8)</f>
        <v>1256.25</v>
      </c>
      <c r="Y8">
        <f>((X8-W8)*T8)/($B$3)</f>
        <v>29.38995688894083</v>
      </c>
      <c r="Z8">
        <f>Y8*$B$16</f>
        <v>5775.126528676873</v>
      </c>
      <c r="AA8">
        <v>1000</v>
      </c>
      <c r="AB8">
        <f>SQRT((T8^2/(AA8*$B$8))^2+1)</f>
        <v>1.0041995817230087</v>
      </c>
      <c r="AC8">
        <f>((180*$B$8)/(PI()*T8))*SQRT($D$5^2-1)</f>
        <v>20.947171652767526</v>
      </c>
      <c r="AD8">
        <f>((180*$B$8)/(PI()*T8))*SQRT(AB8^2-1)</f>
        <v>1.7188733853924743</v>
      </c>
      <c r="AH8">
        <v>38</v>
      </c>
      <c r="AI8">
        <f>(2*$B$3*$B$8*$D$6)/($B$10*$B$9*$B$4*AH8^2)</f>
        <v>3.1259859200962543</v>
      </c>
      <c r="AJ8">
        <f>$B$5+(AI8^2/($B$13*$B$12*PI()))</f>
        <v>0.48426258290933494</v>
      </c>
      <c r="AK8">
        <f>(0.5/$B$8)*$B$10*$B$9*$B$4*AJ8*AH8^2</f>
        <v>309.83030332678129</v>
      </c>
      <c r="AL8">
        <f>($B$6*$B$15*75)/(AH8)</f>
        <v>991.77631578947364</v>
      </c>
      <c r="AM8">
        <f>((AL8-AK8)*AH8)/($B$3)</f>
        <v>25.913948473582309</v>
      </c>
      <c r="AN8">
        <f>AM8*$B$16</f>
        <v>5092.0908750589233</v>
      </c>
      <c r="AO8">
        <v>800</v>
      </c>
      <c r="AP8">
        <f>SQRT((AH8^2/(AO8*$B$8))^2+1)</f>
        <v>1.0167863588320518</v>
      </c>
      <c r="AQ8">
        <f>((180*$B$8)/(PI()*AH8))*SQRT($D$6^2-1)</f>
        <v>25.619383250942121</v>
      </c>
      <c r="AR8">
        <f>((180*$B$8)/(PI()*AH8))*SQRT(AP8^2-1)</f>
        <v>2.7215495268714229</v>
      </c>
    </row>
    <row r="9" spans="1:45" ht="15.75" thickBot="1">
      <c r="A9" s="8" t="s">
        <v>34</v>
      </c>
      <c r="B9">
        <v>0.87609999999999999</v>
      </c>
      <c r="C9" s="19" t="s">
        <v>35</v>
      </c>
      <c r="D9" s="20">
        <v>5</v>
      </c>
      <c r="H9">
        <f>H8+2</f>
        <v>52</v>
      </c>
      <c r="I9">
        <f t="shared" ref="I9:I72" si="1">(2*$B$3*$B$8*$D$4)/($B$10*$B$9*$B$4*H9^2)</f>
        <v>0.83467523458191395</v>
      </c>
      <c r="J9">
        <f t="shared" ref="J9:J72" si="2">$B$5+(I9^2/($B$13*$B$12*PI()))</f>
        <v>5.0313635216798817E-2</v>
      </c>
      <c r="K9">
        <f t="shared" ref="K9:K72" si="3">(0.5/$B$8)*$B$10*$B$9*$B$4*J9*H9^2</f>
        <v>60.279295625682188</v>
      </c>
      <c r="L9">
        <f t="shared" ref="L9:L72" si="4">($B$6*$B$15*75)/(H9)</f>
        <v>724.75961538461536</v>
      </c>
      <c r="M9">
        <f t="shared" ref="M9:M72" si="5">((L9-K9)*H9)/($B$3)</f>
        <v>34.552976627464531</v>
      </c>
      <c r="N9">
        <f t="shared" ref="N9:N72" si="6">M9*$B$16</f>
        <v>6789.6599072967801</v>
      </c>
      <c r="O9" t="e">
        <f t="shared" ref="O9:O72" si="7">H9^2/($B$8*SQRT($D$4^2-1))</f>
        <v>#DIV/0!</v>
      </c>
      <c r="P9" t="e">
        <f t="shared" ref="P9:P72" si="8">SQRT((H9^2/(O9*$B$8))^2+1)</f>
        <v>#DIV/0!</v>
      </c>
      <c r="Q9">
        <f t="shared" si="0"/>
        <v>0</v>
      </c>
      <c r="R9" t="e">
        <f t="shared" ref="R9:R72" si="9">((180*$B$8)/(PI()*H9))*SQRT(P9^2-1)</f>
        <v>#DIV/0!</v>
      </c>
      <c r="T9">
        <f>T8+2</f>
        <v>32</v>
      </c>
      <c r="U9">
        <f t="shared" ref="U9:U72" si="10">(2*$B$3*$B$8*$D$5)/($B$10*$B$9*$B$4*T9^2)</f>
        <v>3.3060964369767998</v>
      </c>
      <c r="V9">
        <f t="shared" ref="V9:V72" si="11">$B$5+(U9^2/($B$13*$B$12*PI()))</f>
        <v>0.53965848503679925</v>
      </c>
      <c r="W9">
        <f t="shared" ref="W9:W72" si="12">(0.5/$B$8)*$B$10*$B$9*$B$4*V9*T9^2</f>
        <v>244.84697981025028</v>
      </c>
      <c r="X9">
        <f t="shared" ref="X9:X72" si="13">($B$6*$B$15*75)/(T9)</f>
        <v>1177.734375</v>
      </c>
      <c r="Y9">
        <f t="shared" ref="Y9:Y72" si="14">((X9-W9)*T9)/($B$3)</f>
        <v>29.852396646071988</v>
      </c>
      <c r="Z9">
        <f t="shared" ref="Z9:Z72" si="15">Y9*$B$16</f>
        <v>5865.9959409531457</v>
      </c>
      <c r="AA9">
        <f>AA8</f>
        <v>1000</v>
      </c>
      <c r="AB9">
        <f t="shared" ref="AB9:AB72" si="16">SQRT((T9^2/(AA9*$B$8))^2+1)</f>
        <v>1.0054331751226819</v>
      </c>
      <c r="AC9">
        <f t="shared" ref="AC9:AC72" si="17">((180*$B$8)/(PI()*T9))*SQRT($D$5^2-1)</f>
        <v>19.637973424469553</v>
      </c>
      <c r="AD9">
        <f t="shared" ref="AD9:AD72" si="18">((180*$B$8)/(PI()*T9))*SQRT(AB9^2-1)</f>
        <v>1.8334649444186457</v>
      </c>
      <c r="AH9">
        <f>AH8+2</f>
        <v>40</v>
      </c>
      <c r="AI9">
        <f t="shared" ref="AI9:AI72" si="19">(2*$B$3*$B$8*$D$6)/($B$10*$B$9*$B$4*AH9^2)</f>
        <v>2.821202292886869</v>
      </c>
      <c r="AJ9">
        <f t="shared" ref="AJ9:AJ72" si="20">$B$5+(AI9^2/($B$13*$B$12*PI()))</f>
        <v>0.39758829417079633</v>
      </c>
      <c r="AK9">
        <f t="shared" ref="AK9:AK72" si="21">(0.5/$B$8)*$B$10*$B$9*$B$4*AJ9*AH9^2</f>
        <v>281.85734512781335</v>
      </c>
      <c r="AL9">
        <f t="shared" ref="AL9:AL72" si="22">($B$6*$B$15*75)/(AH9)</f>
        <v>942.1875</v>
      </c>
      <c r="AM9">
        <f t="shared" ref="AM9:AM72" si="23">((AL9-AK9)*AH9)/($B$3)</f>
        <v>26.413206194887465</v>
      </c>
      <c r="AN9">
        <f t="shared" ref="AN9:AN72" si="24">AM9*$B$16</f>
        <v>5190.1950172953866</v>
      </c>
      <c r="AO9">
        <f>AO8</f>
        <v>800</v>
      </c>
      <c r="AP9">
        <f t="shared" ref="AP9:AP72" si="25">SQRT((AH9^2/(AO9*$B$8))^2+1)</f>
        <v>1.0205706463111355</v>
      </c>
      <c r="AQ9">
        <f t="shared" ref="AQ9:AQ72" si="26">((180*$B$8)/(PI()*AH9))*SQRT($D$6^2-1)</f>
        <v>24.338414088395012</v>
      </c>
      <c r="AR9">
        <f t="shared" ref="AR9:AR72" si="27">((180*$B$8)/(PI()*AH9))*SQRT(AP9^2-1)</f>
        <v>2.8647889756541107</v>
      </c>
    </row>
    <row r="10" spans="1:45">
      <c r="A10" s="8" t="s">
        <v>36</v>
      </c>
      <c r="B10">
        <v>1.2250000000000001</v>
      </c>
      <c r="D10" s="11"/>
      <c r="H10">
        <f t="shared" ref="H10:H73" si="28">H9+2</f>
        <v>54</v>
      </c>
      <c r="I10">
        <f t="shared" si="1"/>
        <v>0.77399239859722069</v>
      </c>
      <c r="J10">
        <f t="shared" si="2"/>
        <v>4.5645760802858378E-2</v>
      </c>
      <c r="K10">
        <f t="shared" si="3"/>
        <v>58.974430350461439</v>
      </c>
      <c r="L10">
        <f t="shared" si="4"/>
        <v>697.91666666666663</v>
      </c>
      <c r="M10">
        <f t="shared" si="5"/>
        <v>34.502880761075083</v>
      </c>
      <c r="N10">
        <f t="shared" si="6"/>
        <v>6779.8160695512543</v>
      </c>
      <c r="O10" t="e">
        <f t="shared" si="7"/>
        <v>#DIV/0!</v>
      </c>
      <c r="P10" t="e">
        <f t="shared" si="8"/>
        <v>#DIV/0!</v>
      </c>
      <c r="Q10">
        <f t="shared" si="0"/>
        <v>0</v>
      </c>
      <c r="R10" t="e">
        <f t="shared" si="9"/>
        <v>#DIV/0!</v>
      </c>
      <c r="T10">
        <f t="shared" ref="T10:T73" si="29">T9+2</f>
        <v>34</v>
      </c>
      <c r="U10">
        <f t="shared" si="10"/>
        <v>2.9285836950382724</v>
      </c>
      <c r="V10">
        <f t="shared" si="11"/>
        <v>0.42711178596247262</v>
      </c>
      <c r="W10">
        <f t="shared" si="12"/>
        <v>218.76365699541199</v>
      </c>
      <c r="X10">
        <f t="shared" si="13"/>
        <v>1108.4558823529412</v>
      </c>
      <c r="Y10">
        <f t="shared" si="14"/>
        <v>30.249535662155992</v>
      </c>
      <c r="Z10">
        <f t="shared" si="15"/>
        <v>5944.0337576136526</v>
      </c>
      <c r="AA10">
        <f t="shared" ref="AA10:AA73" si="30">AA9</f>
        <v>1000</v>
      </c>
      <c r="AB10">
        <f t="shared" si="16"/>
        <v>1.0069190711008951</v>
      </c>
      <c r="AC10">
        <f t="shared" si="17"/>
        <v>18.482798517147813</v>
      </c>
      <c r="AD10">
        <f t="shared" si="18"/>
        <v>1.9480565034447779</v>
      </c>
      <c r="AH10">
        <f t="shared" ref="AH10:AH73" si="31">AH9+2</f>
        <v>42</v>
      </c>
      <c r="AI10">
        <f t="shared" si="19"/>
        <v>2.5589136443418314</v>
      </c>
      <c r="AJ10">
        <f t="shared" si="20"/>
        <v>0.33011093149113496</v>
      </c>
      <c r="AK10">
        <f t="shared" si="21"/>
        <v>258.00865318066764</v>
      </c>
      <c r="AL10">
        <f t="shared" si="22"/>
        <v>897.32142857142856</v>
      </c>
      <c r="AM10">
        <f t="shared" si="23"/>
        <v>26.851136566411956</v>
      </c>
      <c r="AN10">
        <f t="shared" si="24"/>
        <v>5276.2483352999498</v>
      </c>
      <c r="AO10">
        <f t="shared" ref="AO10:AO73" si="32">AO9</f>
        <v>800</v>
      </c>
      <c r="AP10">
        <f t="shared" si="25"/>
        <v>1.0249496775919418</v>
      </c>
      <c r="AQ10">
        <f t="shared" si="26"/>
        <v>23.179441988947627</v>
      </c>
      <c r="AR10">
        <f t="shared" si="27"/>
        <v>3.0080284244368225</v>
      </c>
    </row>
    <row r="11" spans="1:45">
      <c r="A11" s="8" t="s">
        <v>37</v>
      </c>
      <c r="B11">
        <v>8.06</v>
      </c>
      <c r="D11" s="11"/>
      <c r="F11" t="s">
        <v>38</v>
      </c>
      <c r="H11">
        <f t="shared" si="28"/>
        <v>56</v>
      </c>
      <c r="I11">
        <f t="shared" si="1"/>
        <v>0.71969446247114022</v>
      </c>
      <c r="J11">
        <f t="shared" si="2"/>
        <v>4.1767563916779243E-2</v>
      </c>
      <c r="K11">
        <f t="shared" si="3"/>
        <v>58.035133094349924</v>
      </c>
      <c r="L11">
        <f t="shared" si="4"/>
        <v>672.99107142857144</v>
      </c>
      <c r="M11">
        <f t="shared" si="5"/>
        <v>34.437532546716405</v>
      </c>
      <c r="N11">
        <f t="shared" si="6"/>
        <v>6766.9751454297739</v>
      </c>
      <c r="O11" t="e">
        <f t="shared" si="7"/>
        <v>#DIV/0!</v>
      </c>
      <c r="P11" t="e">
        <f t="shared" si="8"/>
        <v>#DIV/0!</v>
      </c>
      <c r="Q11">
        <f t="shared" si="0"/>
        <v>0</v>
      </c>
      <c r="R11" t="e">
        <f t="shared" si="9"/>
        <v>#DIV/0!</v>
      </c>
      <c r="T11">
        <f t="shared" si="29"/>
        <v>36</v>
      </c>
      <c r="U11">
        <f t="shared" si="10"/>
        <v>2.61222434526562</v>
      </c>
      <c r="V11">
        <f t="shared" si="11"/>
        <v>0.34329311914505872</v>
      </c>
      <c r="W11">
        <f t="shared" si="12"/>
        <v>197.12689671959521</v>
      </c>
      <c r="X11">
        <f t="shared" si="13"/>
        <v>1046.875</v>
      </c>
      <c r="Y11">
        <f t="shared" si="14"/>
        <v>30.590931718094573</v>
      </c>
      <c r="Z11">
        <f t="shared" si="15"/>
        <v>6011.1180826055834</v>
      </c>
      <c r="AA11">
        <f t="shared" si="30"/>
        <v>1000</v>
      </c>
      <c r="AB11">
        <f t="shared" si="16"/>
        <v>1.0086887906288913</v>
      </c>
      <c r="AC11">
        <f t="shared" si="17"/>
        <v>17.455976377306271</v>
      </c>
      <c r="AD11">
        <f t="shared" si="18"/>
        <v>2.0626480624709584</v>
      </c>
      <c r="AH11">
        <f t="shared" si="31"/>
        <v>44</v>
      </c>
      <c r="AI11">
        <f t="shared" si="19"/>
        <v>2.3315721428817104</v>
      </c>
      <c r="AJ11">
        <f t="shared" si="20"/>
        <v>0.27694692587309372</v>
      </c>
      <c r="AK11">
        <f t="shared" si="21"/>
        <v>237.56239043995501</v>
      </c>
      <c r="AL11">
        <f t="shared" si="22"/>
        <v>856.53409090909088</v>
      </c>
      <c r="AM11">
        <f t="shared" si="23"/>
        <v>27.234754820641978</v>
      </c>
      <c r="AN11">
        <f t="shared" si="24"/>
        <v>5351.629322256149</v>
      </c>
      <c r="AO11">
        <f t="shared" si="32"/>
        <v>800</v>
      </c>
      <c r="AP11">
        <f t="shared" si="25"/>
        <v>1.0299779136584799</v>
      </c>
      <c r="AQ11">
        <f t="shared" si="26"/>
        <v>22.125830989450012</v>
      </c>
      <c r="AR11">
        <f t="shared" si="27"/>
        <v>3.1512678732195272</v>
      </c>
    </row>
    <row r="12" spans="1:45">
      <c r="A12" s="8" t="s">
        <v>39</v>
      </c>
      <c r="B12">
        <v>0.83</v>
      </c>
      <c r="D12" s="11"/>
      <c r="H12">
        <f t="shared" si="28"/>
        <v>58</v>
      </c>
      <c r="I12">
        <f t="shared" si="1"/>
        <v>0.67091612197071804</v>
      </c>
      <c r="J12">
        <f t="shared" si="2"/>
        <v>3.8524021947191935E-2</v>
      </c>
      <c r="K12">
        <f t="shared" si="3"/>
        <v>57.420027162312415</v>
      </c>
      <c r="L12">
        <f t="shared" si="4"/>
        <v>649.7844827586207</v>
      </c>
      <c r="M12">
        <f t="shared" si="5"/>
        <v>34.357138424585877</v>
      </c>
      <c r="N12">
        <f t="shared" si="6"/>
        <v>6751.1777004311243</v>
      </c>
      <c r="O12" t="e">
        <f t="shared" si="7"/>
        <v>#DIV/0!</v>
      </c>
      <c r="P12" t="e">
        <f t="shared" si="8"/>
        <v>#DIV/0!</v>
      </c>
      <c r="Q12">
        <f t="shared" si="0"/>
        <v>0</v>
      </c>
      <c r="R12" t="e">
        <f t="shared" si="9"/>
        <v>#DIV/0!</v>
      </c>
      <c r="T12">
        <f t="shared" si="29"/>
        <v>38</v>
      </c>
      <c r="U12">
        <f t="shared" si="10"/>
        <v>2.344489440072191</v>
      </c>
      <c r="V12">
        <f t="shared" si="11"/>
        <v>0.27983520288650093</v>
      </c>
      <c r="W12">
        <f t="shared" si="12"/>
        <v>179.03804434146932</v>
      </c>
      <c r="X12">
        <f t="shared" si="13"/>
        <v>991.77631578947364</v>
      </c>
      <c r="Y12">
        <f t="shared" si="14"/>
        <v>30.884054315024166</v>
      </c>
      <c r="Z12">
        <f t="shared" si="15"/>
        <v>6068.7166729022483</v>
      </c>
      <c r="AA12">
        <f t="shared" si="30"/>
        <v>1000</v>
      </c>
      <c r="AB12">
        <f t="shared" si="16"/>
        <v>1.0107753853772077</v>
      </c>
      <c r="AC12">
        <f t="shared" si="17"/>
        <v>16.537240778500678</v>
      </c>
      <c r="AD12">
        <f t="shared" si="18"/>
        <v>2.1772396214971321</v>
      </c>
      <c r="AH12">
        <f t="shared" si="31"/>
        <v>46</v>
      </c>
      <c r="AI12">
        <f t="shared" si="19"/>
        <v>2.1332342479295798</v>
      </c>
      <c r="AJ12">
        <f t="shared" si="20"/>
        <v>0.23460259242686893</v>
      </c>
      <c r="AK12">
        <f t="shared" si="21"/>
        <v>219.95014626693109</v>
      </c>
      <c r="AL12">
        <f t="shared" si="22"/>
        <v>819.29347826086962</v>
      </c>
      <c r="AM12">
        <f t="shared" si="23"/>
        <v>27.569793271721174</v>
      </c>
      <c r="AN12">
        <f t="shared" si="24"/>
        <v>5417.4643778932104</v>
      </c>
      <c r="AO12">
        <f t="shared" si="32"/>
        <v>800</v>
      </c>
      <c r="AP12">
        <f t="shared" si="25"/>
        <v>1.0357106123476476</v>
      </c>
      <c r="AQ12">
        <f t="shared" si="26"/>
        <v>21.163838337734795</v>
      </c>
      <c r="AR12">
        <f t="shared" si="27"/>
        <v>3.2945073220022301</v>
      </c>
    </row>
    <row r="13" spans="1:45">
      <c r="A13" s="8" t="s">
        <v>40</v>
      </c>
      <c r="B13">
        <f>B11^2/B4</f>
        <v>8.0201975308642002</v>
      </c>
      <c r="D13" s="11"/>
      <c r="H13">
        <f t="shared" si="28"/>
        <v>60</v>
      </c>
      <c r="I13">
        <f t="shared" si="1"/>
        <v>0.62693384286374876</v>
      </c>
      <c r="J13">
        <f t="shared" si="2"/>
        <v>3.579448366275538E-2</v>
      </c>
      <c r="K13">
        <f t="shared" si="3"/>
        <v>57.094514947942571</v>
      </c>
      <c r="L13">
        <f t="shared" si="4"/>
        <v>628.125</v>
      </c>
      <c r="M13">
        <f t="shared" si="5"/>
        <v>34.261829103123446</v>
      </c>
      <c r="N13">
        <f t="shared" si="6"/>
        <v>6732.4494187637574</v>
      </c>
      <c r="O13" t="e">
        <f t="shared" si="7"/>
        <v>#DIV/0!</v>
      </c>
      <c r="P13" t="e">
        <f t="shared" si="8"/>
        <v>#DIV/0!</v>
      </c>
      <c r="Q13">
        <f t="shared" si="0"/>
        <v>0</v>
      </c>
      <c r="R13" t="e">
        <f t="shared" si="9"/>
        <v>#DIV/0!</v>
      </c>
      <c r="T13">
        <f t="shared" si="29"/>
        <v>40</v>
      </c>
      <c r="U13">
        <f t="shared" si="10"/>
        <v>2.1159017196651519</v>
      </c>
      <c r="V13">
        <f t="shared" si="11"/>
        <v>0.23108091547107301</v>
      </c>
      <c r="W13">
        <f t="shared" si="12"/>
        <v>163.81733139356939</v>
      </c>
      <c r="X13">
        <f t="shared" si="13"/>
        <v>942.1875</v>
      </c>
      <c r="Y13">
        <f t="shared" si="14"/>
        <v>31.134806744257226</v>
      </c>
      <c r="Z13">
        <f t="shared" si="15"/>
        <v>6117.9895252465449</v>
      </c>
      <c r="AA13">
        <f t="shared" si="30"/>
        <v>1000</v>
      </c>
      <c r="AB13">
        <f t="shared" si="16"/>
        <v>1.0132133261222114</v>
      </c>
      <c r="AC13">
        <f t="shared" si="17"/>
        <v>15.710378739575642</v>
      </c>
      <c r="AD13">
        <f t="shared" si="18"/>
        <v>2.291831180523296</v>
      </c>
      <c r="AH13">
        <f t="shared" si="31"/>
        <v>48</v>
      </c>
      <c r="AI13">
        <f t="shared" si="19"/>
        <v>1.959168258949215</v>
      </c>
      <c r="AJ13">
        <f t="shared" si="20"/>
        <v>0.20053987951909552</v>
      </c>
      <c r="AK13">
        <f t="shared" si="21"/>
        <v>204.71940437280622</v>
      </c>
      <c r="AL13">
        <f t="shared" si="22"/>
        <v>785.15625</v>
      </c>
      <c r="AM13">
        <f t="shared" si="23"/>
        <v>27.860968590105301</v>
      </c>
      <c r="AN13">
        <f t="shared" si="24"/>
        <v>5474.6803279556916</v>
      </c>
      <c r="AO13">
        <f t="shared" si="32"/>
        <v>800</v>
      </c>
      <c r="AP13">
        <f t="shared" si="25"/>
        <v>1.0422034500568955</v>
      </c>
      <c r="AQ13">
        <f t="shared" si="26"/>
        <v>20.282011740329178</v>
      </c>
      <c r="AR13">
        <f t="shared" si="27"/>
        <v>3.4377467707849427</v>
      </c>
    </row>
    <row r="14" spans="1:45">
      <c r="A14" s="8" t="s">
        <v>41</v>
      </c>
      <c r="B14">
        <v>0.2</v>
      </c>
      <c r="D14" s="11"/>
      <c r="H14">
        <f t="shared" si="28"/>
        <v>62</v>
      </c>
      <c r="I14">
        <f t="shared" si="1"/>
        <v>0.58713887469029535</v>
      </c>
      <c r="J14">
        <f t="shared" si="2"/>
        <v>3.3484229126172396E-2</v>
      </c>
      <c r="K14">
        <f t="shared" si="3"/>
        <v>57.029487519174559</v>
      </c>
      <c r="L14">
        <f t="shared" si="4"/>
        <v>607.86290322580646</v>
      </c>
      <c r="M14">
        <f t="shared" si="5"/>
        <v>34.151671773811174</v>
      </c>
      <c r="N14">
        <f t="shared" si="6"/>
        <v>6710.803503553896</v>
      </c>
      <c r="O14" t="e">
        <f t="shared" si="7"/>
        <v>#DIV/0!</v>
      </c>
      <c r="P14" t="e">
        <f t="shared" si="8"/>
        <v>#DIV/0!</v>
      </c>
      <c r="Q14">
        <f t="shared" si="0"/>
        <v>0</v>
      </c>
      <c r="R14" t="e">
        <f t="shared" si="9"/>
        <v>#DIV/0!</v>
      </c>
      <c r="T14">
        <f t="shared" si="29"/>
        <v>42</v>
      </c>
      <c r="U14">
        <f t="shared" si="10"/>
        <v>1.9191852332563737</v>
      </c>
      <c r="V14">
        <f t="shared" si="11"/>
        <v>0.19312489896376345</v>
      </c>
      <c r="W14">
        <f t="shared" si="12"/>
        <v>150.94288108611525</v>
      </c>
      <c r="X14">
        <f t="shared" si="13"/>
        <v>897.32142857142856</v>
      </c>
      <c r="Y14">
        <f t="shared" si="14"/>
        <v>31.347898994383158</v>
      </c>
      <c r="Z14">
        <f t="shared" si="15"/>
        <v>6159.8621523962902</v>
      </c>
      <c r="AA14">
        <f t="shared" si="30"/>
        <v>1000</v>
      </c>
      <c r="AB14">
        <f t="shared" si="16"/>
        <v>1.0160383745810628</v>
      </c>
      <c r="AC14">
        <f t="shared" si="17"/>
        <v>14.962265466262517</v>
      </c>
      <c r="AD14">
        <f t="shared" si="18"/>
        <v>2.4064227395494564</v>
      </c>
      <c r="AH14">
        <f t="shared" si="31"/>
        <v>50</v>
      </c>
      <c r="AI14">
        <f t="shared" si="19"/>
        <v>1.8055694674475964</v>
      </c>
      <c r="AJ14">
        <f t="shared" si="20"/>
        <v>0.1728889652923582</v>
      </c>
      <c r="AK14">
        <f t="shared" si="21"/>
        <v>191.50630137400239</v>
      </c>
      <c r="AL14">
        <f t="shared" si="22"/>
        <v>753.75</v>
      </c>
      <c r="AM14">
        <f t="shared" si="23"/>
        <v>28.112184931299879</v>
      </c>
      <c r="AN14">
        <f t="shared" si="24"/>
        <v>5524.0443390004266</v>
      </c>
      <c r="AO14">
        <f t="shared" si="32"/>
        <v>800</v>
      </c>
      <c r="AP14">
        <f t="shared" si="25"/>
        <v>1.0495121217178194</v>
      </c>
      <c r="AQ14">
        <f t="shared" si="26"/>
        <v>19.470731270716009</v>
      </c>
      <c r="AR14">
        <f t="shared" si="27"/>
        <v>3.5809862195676447</v>
      </c>
    </row>
    <row r="15" spans="1:45">
      <c r="A15" s="8" t="s">
        <v>42</v>
      </c>
      <c r="B15">
        <v>0.75</v>
      </c>
      <c r="D15" s="11"/>
      <c r="H15">
        <f t="shared" si="28"/>
        <v>64</v>
      </c>
      <c r="I15">
        <f t="shared" si="1"/>
        <v>0.55101607282946663</v>
      </c>
      <c r="J15">
        <f t="shared" si="2"/>
        <v>3.1518291251022207E-2</v>
      </c>
      <c r="K15">
        <f t="shared" si="3"/>
        <v>57.200311942219457</v>
      </c>
      <c r="L15">
        <f t="shared" si="4"/>
        <v>588.8671875</v>
      </c>
      <c r="M15">
        <f t="shared" si="5"/>
        <v>34.02668003569795</v>
      </c>
      <c r="N15">
        <f t="shared" si="6"/>
        <v>6686.242627014647</v>
      </c>
      <c r="O15" t="e">
        <f t="shared" si="7"/>
        <v>#DIV/0!</v>
      </c>
      <c r="P15" t="e">
        <f t="shared" si="8"/>
        <v>#DIV/0!</v>
      </c>
      <c r="Q15">
        <f t="shared" si="0"/>
        <v>0</v>
      </c>
      <c r="R15" t="e">
        <f t="shared" si="9"/>
        <v>#DIV/0!</v>
      </c>
      <c r="T15">
        <f t="shared" si="29"/>
        <v>44</v>
      </c>
      <c r="U15">
        <f t="shared" si="10"/>
        <v>1.7486791071612826</v>
      </c>
      <c r="V15">
        <f t="shared" si="11"/>
        <v>0.16322014580361516</v>
      </c>
      <c r="W15">
        <f t="shared" si="12"/>
        <v>140.00866008107556</v>
      </c>
      <c r="X15">
        <f t="shared" si="13"/>
        <v>856.53409090909088</v>
      </c>
      <c r="Y15">
        <f t="shared" si="14"/>
        <v>31.52711895643267</v>
      </c>
      <c r="Z15">
        <f t="shared" si="15"/>
        <v>6195.0788749390194</v>
      </c>
      <c r="AA15">
        <f t="shared" si="30"/>
        <v>1000</v>
      </c>
      <c r="AB15">
        <f t="shared" si="16"/>
        <v>1.0192874382035404</v>
      </c>
      <c r="AC15">
        <f t="shared" si="17"/>
        <v>14.282162490523314</v>
      </c>
      <c r="AD15">
        <f t="shared" si="18"/>
        <v>2.521014298575627</v>
      </c>
      <c r="AH15">
        <f t="shared" si="31"/>
        <v>52</v>
      </c>
      <c r="AI15">
        <f t="shared" si="19"/>
        <v>1.6693504691638279</v>
      </c>
      <c r="AJ15">
        <f t="shared" si="20"/>
        <v>0.15025454086719525</v>
      </c>
      <c r="AK15">
        <f t="shared" si="21"/>
        <v>180.01557329355441</v>
      </c>
      <c r="AL15">
        <f t="shared" si="22"/>
        <v>724.75961538461536</v>
      </c>
      <c r="AM15">
        <f t="shared" si="23"/>
        <v>28.326690188735167</v>
      </c>
      <c r="AN15">
        <f t="shared" si="24"/>
        <v>5566.1946220864602</v>
      </c>
      <c r="AO15">
        <f t="shared" si="32"/>
        <v>800</v>
      </c>
      <c r="AP15">
        <f t="shared" si="25"/>
        <v>1.0576919252920862</v>
      </c>
      <c r="AQ15">
        <f t="shared" si="26"/>
        <v>18.721856991073086</v>
      </c>
      <c r="AR15">
        <f t="shared" si="27"/>
        <v>3.7242256683503503</v>
      </c>
    </row>
    <row r="16" spans="1:45" ht="15.75" thickBot="1">
      <c r="A16" s="8" t="s">
        <v>43</v>
      </c>
      <c r="B16">
        <f>196.5</f>
        <v>196.5</v>
      </c>
      <c r="D16" s="11"/>
      <c r="H16">
        <f t="shared" si="28"/>
        <v>66</v>
      </c>
      <c r="I16">
        <f t="shared" si="1"/>
        <v>0.51812714286260231</v>
      </c>
      <c r="J16">
        <f t="shared" si="2"/>
        <v>2.9836885228300927E-2</v>
      </c>
      <c r="K16">
        <f t="shared" si="3"/>
        <v>57.586030068710599</v>
      </c>
      <c r="L16">
        <f t="shared" si="4"/>
        <v>571.02272727272725</v>
      </c>
      <c r="M16">
        <f t="shared" si="5"/>
        <v>33.8868220154651</v>
      </c>
      <c r="N16">
        <f t="shared" si="6"/>
        <v>6658.7605260388918</v>
      </c>
      <c r="O16" t="e">
        <f t="shared" si="7"/>
        <v>#DIV/0!</v>
      </c>
      <c r="P16" t="e">
        <f t="shared" si="8"/>
        <v>#DIV/0!</v>
      </c>
      <c r="Q16">
        <f t="shared" si="0"/>
        <v>0</v>
      </c>
      <c r="R16" t="e">
        <f t="shared" si="9"/>
        <v>#DIV/0!</v>
      </c>
      <c r="T16">
        <f t="shared" si="29"/>
        <v>46</v>
      </c>
      <c r="U16">
        <f t="shared" si="10"/>
        <v>1.5999256859471849</v>
      </c>
      <c r="V16">
        <f t="shared" si="11"/>
        <v>0.13940145824011377</v>
      </c>
      <c r="W16">
        <f t="shared" si="12"/>
        <v>130.69493739415677</v>
      </c>
      <c r="X16">
        <f t="shared" si="13"/>
        <v>819.29347826086962</v>
      </c>
      <c r="Y16">
        <f t="shared" si="14"/>
        <v>31.67553287986879</v>
      </c>
      <c r="Z16">
        <f t="shared" si="15"/>
        <v>6224.2422108942174</v>
      </c>
      <c r="AA16">
        <f t="shared" si="30"/>
        <v>1000</v>
      </c>
      <c r="AB16">
        <f t="shared" si="16"/>
        <v>1.022998407828138</v>
      </c>
      <c r="AC16">
        <f t="shared" si="17"/>
        <v>13.661198903978821</v>
      </c>
      <c r="AD16">
        <f t="shared" si="18"/>
        <v>2.6356058576017936</v>
      </c>
      <c r="AH16">
        <f t="shared" si="31"/>
        <v>54</v>
      </c>
      <c r="AI16">
        <f t="shared" si="19"/>
        <v>1.5479847971944414</v>
      </c>
      <c r="AJ16">
        <f t="shared" si="20"/>
        <v>0.13158304321143349</v>
      </c>
      <c r="AK16">
        <f t="shared" si="21"/>
        <v>170.00560141147875</v>
      </c>
      <c r="AL16">
        <f t="shared" si="22"/>
        <v>697.91666666666663</v>
      </c>
      <c r="AM16">
        <f t="shared" si="23"/>
        <v>28.507197523780146</v>
      </c>
      <c r="AN16">
        <f t="shared" si="24"/>
        <v>5601.6643134227988</v>
      </c>
      <c r="AO16">
        <f t="shared" si="32"/>
        <v>800</v>
      </c>
      <c r="AP16">
        <f t="shared" si="25"/>
        <v>1.0667973382491858</v>
      </c>
      <c r="AQ16">
        <f t="shared" si="26"/>
        <v>18.0284548802926</v>
      </c>
      <c r="AR16">
        <f t="shared" si="27"/>
        <v>3.8674651171330603</v>
      </c>
    </row>
    <row r="17" spans="1:44" ht="20.25" thickBot="1">
      <c r="A17" s="21" t="s">
        <v>44</v>
      </c>
      <c r="B17" s="22"/>
      <c r="C17" s="22"/>
      <c r="D17" s="23"/>
      <c r="H17">
        <f t="shared" si="28"/>
        <v>68</v>
      </c>
      <c r="I17">
        <f t="shared" si="1"/>
        <v>0.48809728250637874</v>
      </c>
      <c r="J17">
        <f t="shared" si="2"/>
        <v>2.8391994054513127E-2</v>
      </c>
      <c r="K17">
        <f t="shared" si="3"/>
        <v>58.168719786187459</v>
      </c>
      <c r="L17">
        <f t="shared" si="4"/>
        <v>554.22794117647061</v>
      </c>
      <c r="M17">
        <f t="shared" si="5"/>
        <v>33.732027054539259</v>
      </c>
      <c r="N17">
        <f t="shared" si="6"/>
        <v>6628.343316216964</v>
      </c>
      <c r="O17" t="e">
        <f t="shared" si="7"/>
        <v>#DIV/0!</v>
      </c>
      <c r="P17" t="e">
        <f t="shared" si="8"/>
        <v>#DIV/0!</v>
      </c>
      <c r="Q17">
        <f t="shared" si="0"/>
        <v>0</v>
      </c>
      <c r="R17" t="e">
        <f t="shared" si="9"/>
        <v>#DIV/0!</v>
      </c>
      <c r="T17">
        <f t="shared" si="29"/>
        <v>48</v>
      </c>
      <c r="U17">
        <f t="shared" si="10"/>
        <v>1.4693761942119112</v>
      </c>
      <c r="V17">
        <f t="shared" si="11"/>
        <v>0.12024118222949125</v>
      </c>
      <c r="W17">
        <f t="shared" si="12"/>
        <v>122.74717261291453</v>
      </c>
      <c r="X17">
        <f t="shared" si="13"/>
        <v>785.15625</v>
      </c>
      <c r="Y17">
        <f t="shared" si="14"/>
        <v>31.795635714580104</v>
      </c>
      <c r="Z17">
        <f t="shared" si="15"/>
        <v>6247.8424179149906</v>
      </c>
      <c r="AA17">
        <f t="shared" si="30"/>
        <v>1000</v>
      </c>
      <c r="AB17">
        <f t="shared" si="16"/>
        <v>1.0272099785529332</v>
      </c>
      <c r="AC17">
        <f t="shared" si="17"/>
        <v>13.091982282979703</v>
      </c>
      <c r="AD17">
        <f t="shared" si="18"/>
        <v>2.7501974166279575</v>
      </c>
      <c r="AH17">
        <f t="shared" si="31"/>
        <v>56</v>
      </c>
      <c r="AI17">
        <f t="shared" si="19"/>
        <v>1.4393889249422804</v>
      </c>
      <c r="AJ17">
        <f t="shared" si="20"/>
        <v>0.11607025566711696</v>
      </c>
      <c r="AK17">
        <f t="shared" si="21"/>
        <v>161.27712761409691</v>
      </c>
      <c r="AL17">
        <f t="shared" si="22"/>
        <v>672.99107142857144</v>
      </c>
      <c r="AM17">
        <f t="shared" si="23"/>
        <v>28.655980853610576</v>
      </c>
      <c r="AN17">
        <f t="shared" si="24"/>
        <v>5630.9002377344777</v>
      </c>
      <c r="AO17">
        <f t="shared" si="32"/>
        <v>800</v>
      </c>
      <c r="AP17">
        <f t="shared" si="25"/>
        <v>1.076881594466349</v>
      </c>
      <c r="AQ17">
        <f t="shared" si="26"/>
        <v>17.384581491710723</v>
      </c>
      <c r="AR17">
        <f t="shared" si="27"/>
        <v>4.0107045659157636</v>
      </c>
    </row>
    <row r="18" spans="1:44">
      <c r="A18" s="8" t="s">
        <v>45</v>
      </c>
      <c r="B18" t="s">
        <v>46</v>
      </c>
      <c r="C18" t="s">
        <v>47</v>
      </c>
      <c r="D18" s="11"/>
      <c r="H18">
        <f t="shared" si="28"/>
        <v>70</v>
      </c>
      <c r="I18">
        <f t="shared" si="1"/>
        <v>0.46060445598152971</v>
      </c>
      <c r="J18">
        <f t="shared" si="2"/>
        <v>2.7144794180312778E-2</v>
      </c>
      <c r="K18">
        <f t="shared" si="3"/>
        <v>58.932982145099544</v>
      </c>
      <c r="L18">
        <f t="shared" si="4"/>
        <v>538.39285714285711</v>
      </c>
      <c r="M18">
        <f t="shared" si="5"/>
        <v>33.562191249843025</v>
      </c>
      <c r="N18">
        <f t="shared" si="6"/>
        <v>6594.9705805941539</v>
      </c>
      <c r="O18" t="e">
        <f t="shared" si="7"/>
        <v>#DIV/0!</v>
      </c>
      <c r="P18" t="e">
        <f t="shared" si="8"/>
        <v>#DIV/0!</v>
      </c>
      <c r="Q18">
        <f t="shared" si="0"/>
        <v>0</v>
      </c>
      <c r="R18" t="e">
        <f t="shared" si="9"/>
        <v>#DIV/0!</v>
      </c>
      <c r="T18">
        <f t="shared" si="29"/>
        <v>50</v>
      </c>
      <c r="U18">
        <f t="shared" si="10"/>
        <v>1.3541771005856973</v>
      </c>
      <c r="V18">
        <f t="shared" si="11"/>
        <v>0.1046875429769515</v>
      </c>
      <c r="W18">
        <f t="shared" si="12"/>
        <v>115.96069258408623</v>
      </c>
      <c r="X18">
        <f t="shared" si="13"/>
        <v>753.75</v>
      </c>
      <c r="Y18">
        <f t="shared" si="14"/>
        <v>31.889465370795691</v>
      </c>
      <c r="Z18">
        <f t="shared" si="15"/>
        <v>6266.2799453613534</v>
      </c>
      <c r="AA18">
        <f t="shared" si="30"/>
        <v>1000</v>
      </c>
      <c r="AB18">
        <f t="shared" si="16"/>
        <v>1.0319614546701292</v>
      </c>
      <c r="AC18">
        <f t="shared" si="17"/>
        <v>12.568302991660515</v>
      </c>
      <c r="AD18">
        <f t="shared" si="18"/>
        <v>2.8647889756541227</v>
      </c>
      <c r="AH18">
        <f t="shared" si="31"/>
        <v>58</v>
      </c>
      <c r="AI18">
        <f t="shared" si="19"/>
        <v>1.3418322439414361</v>
      </c>
      <c r="AJ18">
        <f t="shared" si="20"/>
        <v>0.10309608778876773</v>
      </c>
      <c r="AK18">
        <f t="shared" si="21"/>
        <v>153.66464512126797</v>
      </c>
      <c r="AL18">
        <f t="shared" si="22"/>
        <v>649.7844827586207</v>
      </c>
      <c r="AM18">
        <f t="shared" si="23"/>
        <v>28.774950582966454</v>
      </c>
      <c r="AN18">
        <f t="shared" si="24"/>
        <v>5654.277789552908</v>
      </c>
      <c r="AO18">
        <f t="shared" si="32"/>
        <v>800</v>
      </c>
      <c r="AP18">
        <f t="shared" si="25"/>
        <v>1.0879962706620632</v>
      </c>
      <c r="AQ18">
        <f t="shared" si="26"/>
        <v>16.785113164410351</v>
      </c>
      <c r="AR18">
        <f t="shared" si="27"/>
        <v>4.1539440146984683</v>
      </c>
    </row>
    <row r="19" spans="1:44">
      <c r="A19" s="8">
        <f>SQRT((2*$B$3*$B$8*B19)/($B$10*$B$9*$B$4*$B$7))</f>
        <v>36.872965202666379</v>
      </c>
      <c r="B19">
        <v>1</v>
      </c>
      <c r="C19">
        <f>((180*$B$8)/(PI()*A19))*SQRT(B19^2-1)</f>
        <v>0</v>
      </c>
      <c r="D19" s="11"/>
      <c r="H19">
        <f t="shared" si="28"/>
        <v>72</v>
      </c>
      <c r="I19">
        <f t="shared" si="1"/>
        <v>0.43537072421093664</v>
      </c>
      <c r="J19">
        <f t="shared" si="2"/>
        <v>2.6063697754029409E-2</v>
      </c>
      <c r="K19">
        <f t="shared" si="3"/>
        <v>59.86552679045451</v>
      </c>
      <c r="L19">
        <f t="shared" si="4"/>
        <v>523.4375</v>
      </c>
      <c r="M19">
        <f t="shared" si="5"/>
        <v>33.377182071087276</v>
      </c>
      <c r="N19">
        <f t="shared" si="6"/>
        <v>6558.6162769686498</v>
      </c>
      <c r="O19" t="e">
        <f t="shared" si="7"/>
        <v>#DIV/0!</v>
      </c>
      <c r="P19" t="e">
        <f t="shared" si="8"/>
        <v>#DIV/0!</v>
      </c>
      <c r="Q19">
        <f t="shared" si="0"/>
        <v>0</v>
      </c>
      <c r="R19" t="e">
        <f t="shared" si="9"/>
        <v>#DIV/0!</v>
      </c>
      <c r="T19">
        <f t="shared" si="29"/>
        <v>52</v>
      </c>
      <c r="U19">
        <f t="shared" si="10"/>
        <v>1.252012851872871</v>
      </c>
      <c r="V19">
        <f t="shared" si="11"/>
        <v>9.195567923779735E-2</v>
      </c>
      <c r="W19">
        <f t="shared" si="12"/>
        <v>110.16941132062897</v>
      </c>
      <c r="X19">
        <f t="shared" si="13"/>
        <v>724.75961538461536</v>
      </c>
      <c r="Y19">
        <f t="shared" si="14"/>
        <v>31.958690611327295</v>
      </c>
      <c r="Z19">
        <f t="shared" si="15"/>
        <v>6279.8827051258131</v>
      </c>
      <c r="AA19">
        <f t="shared" si="30"/>
        <v>1000</v>
      </c>
      <c r="AB19">
        <f t="shared" si="16"/>
        <v>1.0372925400531767</v>
      </c>
      <c r="AC19">
        <f t="shared" si="17"/>
        <v>12.084906722750494</v>
      </c>
      <c r="AD19">
        <f t="shared" si="18"/>
        <v>2.9793805346802817</v>
      </c>
      <c r="AH19">
        <f t="shared" si="31"/>
        <v>60</v>
      </c>
      <c r="AI19">
        <f t="shared" si="19"/>
        <v>1.2538676857274975</v>
      </c>
      <c r="AJ19">
        <f t="shared" si="20"/>
        <v>9.2177934651021518E-2</v>
      </c>
      <c r="AK19">
        <f t="shared" si="21"/>
        <v>147.02976350736662</v>
      </c>
      <c r="AL19">
        <f t="shared" si="22"/>
        <v>628.125</v>
      </c>
      <c r="AM19">
        <f t="shared" si="23"/>
        <v>28.865714189558002</v>
      </c>
      <c r="AN19">
        <f t="shared" si="24"/>
        <v>5672.1128382481475</v>
      </c>
      <c r="AO19">
        <f t="shared" si="32"/>
        <v>800</v>
      </c>
      <c r="AP19">
        <f t="shared" si="25"/>
        <v>1.1001908917622614</v>
      </c>
      <c r="AQ19">
        <f t="shared" si="26"/>
        <v>16.225609392263344</v>
      </c>
      <c r="AR19">
        <f t="shared" si="27"/>
        <v>4.2971834634811739</v>
      </c>
    </row>
    <row r="20" spans="1:44">
      <c r="A20" s="8">
        <f t="shared" ref="A20:A39" si="33">SQRT((2*$B$3*$B$8*B20)/($B$10*$B$9*$B$4*$B$7))</f>
        <v>40.392309607206847</v>
      </c>
      <c r="B20">
        <f>B19+$B$14</f>
        <v>1.2</v>
      </c>
      <c r="C20">
        <f t="shared" ref="C20:C39" si="34">((180*$B$8)/(PI()*A20))*SQRT(B20^2-1)</f>
        <v>9.2303738546787262</v>
      </c>
      <c r="D20" s="11"/>
      <c r="H20">
        <f t="shared" si="28"/>
        <v>74</v>
      </c>
      <c r="I20">
        <f t="shared" si="1"/>
        <v>0.41215519253277855</v>
      </c>
      <c r="J20">
        <f t="shared" si="2"/>
        <v>2.512285164766093E-2</v>
      </c>
      <c r="K20">
        <f t="shared" si="3"/>
        <v>60.954834739011368</v>
      </c>
      <c r="L20">
        <f t="shared" si="4"/>
        <v>509.29054054054052</v>
      </c>
      <c r="M20">
        <f t="shared" si="5"/>
        <v>33.176842229313159</v>
      </c>
      <c r="N20">
        <f t="shared" si="6"/>
        <v>6519.2494980600359</v>
      </c>
      <c r="O20" t="e">
        <f t="shared" si="7"/>
        <v>#DIV/0!</v>
      </c>
      <c r="P20" t="e">
        <f t="shared" si="8"/>
        <v>#DIV/0!</v>
      </c>
      <c r="Q20">
        <f t="shared" si="0"/>
        <v>0</v>
      </c>
      <c r="R20" t="e">
        <f t="shared" si="9"/>
        <v>#DIV/0!</v>
      </c>
      <c r="T20">
        <f t="shared" si="29"/>
        <v>54</v>
      </c>
      <c r="U20">
        <f t="shared" si="10"/>
        <v>1.160988597895831</v>
      </c>
      <c r="V20">
        <f t="shared" si="11"/>
        <v>8.1452961806431343E-2</v>
      </c>
      <c r="W20">
        <f t="shared" si="12"/>
        <v>105.23741829255199</v>
      </c>
      <c r="X20">
        <f t="shared" si="13"/>
        <v>697.91666666666663</v>
      </c>
      <c r="Y20">
        <f t="shared" si="14"/>
        <v>32.004679412202186</v>
      </c>
      <c r="Z20">
        <f t="shared" si="15"/>
        <v>6288.9195044977296</v>
      </c>
      <c r="AA20">
        <f t="shared" si="30"/>
        <v>1000</v>
      </c>
      <c r="AB20">
        <f t="shared" si="16"/>
        <v>1.0432431159481239</v>
      </c>
      <c r="AC20">
        <f t="shared" si="17"/>
        <v>11.637317584870846</v>
      </c>
      <c r="AD20">
        <f t="shared" si="18"/>
        <v>3.093972093706451</v>
      </c>
      <c r="AH20">
        <f t="shared" si="31"/>
        <v>62</v>
      </c>
      <c r="AI20">
        <f t="shared" si="19"/>
        <v>1.1742777493805907</v>
      </c>
      <c r="AJ20">
        <f t="shared" si="20"/>
        <v>8.2936916504689581E-2</v>
      </c>
      <c r="AK20">
        <f t="shared" si="21"/>
        <v>141.25604704412942</v>
      </c>
      <c r="AL20">
        <f t="shared" si="22"/>
        <v>607.86290322580646</v>
      </c>
      <c r="AM20">
        <f t="shared" si="23"/>
        <v>28.929625083263975</v>
      </c>
      <c r="AN20">
        <f t="shared" si="24"/>
        <v>5684.671328861371</v>
      </c>
      <c r="AO20">
        <f t="shared" si="32"/>
        <v>800</v>
      </c>
      <c r="AP20">
        <f t="shared" si="25"/>
        <v>1.1135125644517125</v>
      </c>
      <c r="AQ20">
        <f t="shared" si="26"/>
        <v>15.702202637674201</v>
      </c>
      <c r="AR20">
        <f t="shared" si="27"/>
        <v>4.4404229122638812</v>
      </c>
    </row>
    <row r="21" spans="1:44">
      <c r="A21" s="8">
        <f t="shared" si="33"/>
        <v>43.628680795686037</v>
      </c>
      <c r="B21">
        <f t="shared" ref="B21:B38" si="35">B20+$B$14</f>
        <v>1.4</v>
      </c>
      <c r="C21">
        <f t="shared" si="34"/>
        <v>12.622784705005893</v>
      </c>
      <c r="D21" s="11"/>
      <c r="H21">
        <f t="shared" si="28"/>
        <v>76</v>
      </c>
      <c r="I21">
        <f t="shared" si="1"/>
        <v>0.39074824001203179</v>
      </c>
      <c r="J21">
        <f t="shared" si="2"/>
        <v>2.4300977857958359E-2</v>
      </c>
      <c r="K21">
        <f t="shared" si="3"/>
        <v>62.190882439317171</v>
      </c>
      <c r="L21">
        <f t="shared" si="4"/>
        <v>495.88815789473682</v>
      </c>
      <c r="M21">
        <f t="shared" si="5"/>
        <v>32.960992934611895</v>
      </c>
      <c r="N21">
        <f t="shared" si="6"/>
        <v>6476.8351116512376</v>
      </c>
      <c r="O21" t="e">
        <f t="shared" si="7"/>
        <v>#DIV/0!</v>
      </c>
      <c r="P21" t="e">
        <f t="shared" si="8"/>
        <v>#DIV/0!</v>
      </c>
      <c r="Q21">
        <f t="shared" si="0"/>
        <v>0</v>
      </c>
      <c r="R21" t="e">
        <f t="shared" si="9"/>
        <v>#DIV/0!</v>
      </c>
      <c r="T21">
        <f t="shared" si="29"/>
        <v>56</v>
      </c>
      <c r="U21">
        <f t="shared" si="10"/>
        <v>1.0795416937067102</v>
      </c>
      <c r="V21">
        <f t="shared" si="11"/>
        <v>7.2727018812753286E-2</v>
      </c>
      <c r="W21">
        <f t="shared" si="12"/>
        <v>101.05263081091118</v>
      </c>
      <c r="X21">
        <f t="shared" si="13"/>
        <v>672.99107142857144</v>
      </c>
      <c r="Y21">
        <f t="shared" si="14"/>
        <v>32.028552674588973</v>
      </c>
      <c r="Z21">
        <f t="shared" si="15"/>
        <v>6293.6106005567335</v>
      </c>
      <c r="AA21">
        <f t="shared" si="30"/>
        <v>1000</v>
      </c>
      <c r="AB21">
        <f t="shared" si="16"/>
        <v>1.0498530086827618</v>
      </c>
      <c r="AC21">
        <f t="shared" si="17"/>
        <v>11.221699099696888</v>
      </c>
      <c r="AD21">
        <f t="shared" si="18"/>
        <v>3.2085636527326087</v>
      </c>
      <c r="AH21">
        <f t="shared" si="31"/>
        <v>64</v>
      </c>
      <c r="AI21">
        <f t="shared" si="19"/>
        <v>1.1020321456589333</v>
      </c>
      <c r="AJ21">
        <f t="shared" si="20"/>
        <v>7.507316500408881E-2</v>
      </c>
      <c r="AK21">
        <f t="shared" si="21"/>
        <v>136.24496399640074</v>
      </c>
      <c r="AL21">
        <f t="shared" si="22"/>
        <v>588.8671875</v>
      </c>
      <c r="AM21">
        <f t="shared" si="23"/>
        <v>28.967822304230349</v>
      </c>
      <c r="AN21">
        <f t="shared" si="24"/>
        <v>5692.1770827812634</v>
      </c>
      <c r="AO21">
        <f t="shared" si="32"/>
        <v>800</v>
      </c>
      <c r="AP21">
        <f t="shared" si="25"/>
        <v>1.1280056475620754</v>
      </c>
      <c r="AQ21">
        <f t="shared" si="26"/>
        <v>15.211508805246883</v>
      </c>
      <c r="AR21">
        <f t="shared" si="27"/>
        <v>4.5836623610465868</v>
      </c>
    </row>
    <row r="22" spans="1:44">
      <c r="A22" s="8">
        <f t="shared" si="33"/>
        <v>46.641021649823159</v>
      </c>
      <c r="B22">
        <f t="shared" si="35"/>
        <v>1.5999999999999999</v>
      </c>
      <c r="C22">
        <f t="shared" si="34"/>
        <v>15.051711451439198</v>
      </c>
      <c r="D22" s="11"/>
      <c r="H22">
        <f t="shared" si="28"/>
        <v>78</v>
      </c>
      <c r="I22">
        <f t="shared" si="1"/>
        <v>0.37096677092529512</v>
      </c>
      <c r="J22">
        <f t="shared" si="2"/>
        <v>2.3580471153935571E-2</v>
      </c>
      <c r="K22">
        <f t="shared" si="3"/>
        <v>63.56491470952848</v>
      </c>
      <c r="L22">
        <f t="shared" si="4"/>
        <v>483.17307692307691</v>
      </c>
      <c r="M22">
        <f t="shared" si="5"/>
        <v>32.72943665265678</v>
      </c>
      <c r="N22">
        <f t="shared" si="6"/>
        <v>6431.3343022470572</v>
      </c>
      <c r="O22" t="e">
        <f t="shared" si="7"/>
        <v>#DIV/0!</v>
      </c>
      <c r="P22" t="e">
        <f t="shared" si="8"/>
        <v>#DIV/0!</v>
      </c>
      <c r="Q22">
        <f t="shared" si="0"/>
        <v>0</v>
      </c>
      <c r="R22" t="e">
        <f t="shared" si="9"/>
        <v>#DIV/0!</v>
      </c>
      <c r="T22">
        <f t="shared" si="29"/>
        <v>58</v>
      </c>
      <c r="U22">
        <f t="shared" si="10"/>
        <v>1.0063741829560771</v>
      </c>
      <c r="V22">
        <f t="shared" si="11"/>
        <v>6.5429049381181853E-2</v>
      </c>
      <c r="W22">
        <f t="shared" si="12"/>
        <v>97.521951311877245</v>
      </c>
      <c r="X22">
        <f t="shared" si="13"/>
        <v>649.7844827586207</v>
      </c>
      <c r="Y22">
        <f t="shared" si="14"/>
        <v>32.031226823911119</v>
      </c>
      <c r="Z22">
        <f t="shared" si="15"/>
        <v>6294.1360708985349</v>
      </c>
      <c r="AA22">
        <f t="shared" si="30"/>
        <v>1000</v>
      </c>
      <c r="AB22">
        <f t="shared" si="16"/>
        <v>1.0571617503408439</v>
      </c>
      <c r="AC22">
        <f t="shared" si="17"/>
        <v>10.834743958328028</v>
      </c>
      <c r="AD22">
        <f t="shared" si="18"/>
        <v>3.3231552117587775</v>
      </c>
      <c r="AH22">
        <f t="shared" si="31"/>
        <v>66</v>
      </c>
      <c r="AI22">
        <f t="shared" si="19"/>
        <v>1.0362542857252046</v>
      </c>
      <c r="AJ22">
        <f t="shared" si="20"/>
        <v>6.8347540913203692E-2</v>
      </c>
      <c r="AK22">
        <f t="shared" si="21"/>
        <v>131.91268177071393</v>
      </c>
      <c r="AL22">
        <f t="shared" si="22"/>
        <v>571.02272727272725</v>
      </c>
      <c r="AM22">
        <f t="shared" si="23"/>
        <v>28.981263003132881</v>
      </c>
      <c r="AN22">
        <f t="shared" si="24"/>
        <v>5694.8181801156115</v>
      </c>
      <c r="AO22">
        <f t="shared" si="32"/>
        <v>800</v>
      </c>
      <c r="AP22">
        <f t="shared" si="25"/>
        <v>1.1437114669073631</v>
      </c>
      <c r="AQ22">
        <f t="shared" si="26"/>
        <v>14.750553992966672</v>
      </c>
      <c r="AR22">
        <f t="shared" si="27"/>
        <v>4.7269018098292896</v>
      </c>
    </row>
    <row r="23" spans="1:44">
      <c r="A23" s="8">
        <f t="shared" si="33"/>
        <v>49.470274035087797</v>
      </c>
      <c r="B23">
        <f t="shared" si="35"/>
        <v>1.7999999999999998</v>
      </c>
      <c r="C23">
        <f t="shared" si="34"/>
        <v>17.004792343834964</v>
      </c>
      <c r="D23" s="11"/>
      <c r="H23">
        <f t="shared" si="28"/>
        <v>80</v>
      </c>
      <c r="I23">
        <f t="shared" si="1"/>
        <v>0.35265028661085862</v>
      </c>
      <c r="J23">
        <f t="shared" si="2"/>
        <v>2.2946692096418694E-2</v>
      </c>
      <c r="K23">
        <f t="shared" si="3"/>
        <v>65.069256903057138</v>
      </c>
      <c r="L23">
        <f t="shared" si="4"/>
        <v>471.09375</v>
      </c>
      <c r="M23">
        <f t="shared" si="5"/>
        <v>32.481959447755429</v>
      </c>
      <c r="N23">
        <f t="shared" si="6"/>
        <v>6382.7050314839416</v>
      </c>
      <c r="O23" t="e">
        <f t="shared" si="7"/>
        <v>#DIV/0!</v>
      </c>
      <c r="P23" t="e">
        <f t="shared" si="8"/>
        <v>#DIV/0!</v>
      </c>
      <c r="Q23">
        <f t="shared" si="0"/>
        <v>0</v>
      </c>
      <c r="R23" t="e">
        <f t="shared" si="9"/>
        <v>#DIV/0!</v>
      </c>
      <c r="T23">
        <f t="shared" si="29"/>
        <v>60</v>
      </c>
      <c r="U23">
        <f t="shared" si="10"/>
        <v>0.94040076429562314</v>
      </c>
      <c r="V23">
        <f t="shared" si="11"/>
        <v>5.9287588241199611E-2</v>
      </c>
      <c r="W23">
        <f t="shared" si="12"/>
        <v>94.567535181035936</v>
      </c>
      <c r="X23">
        <f t="shared" si="13"/>
        <v>628.125</v>
      </c>
      <c r="Y23">
        <f t="shared" si="14"/>
        <v>32.013447889137844</v>
      </c>
      <c r="Z23">
        <f t="shared" si="15"/>
        <v>6290.6425102155863</v>
      </c>
      <c r="AA23">
        <f t="shared" si="30"/>
        <v>1000</v>
      </c>
      <c r="AB23">
        <f t="shared" si="16"/>
        <v>1.0652083359243156</v>
      </c>
      <c r="AC23">
        <f t="shared" si="17"/>
        <v>10.473585826383763</v>
      </c>
      <c r="AD23">
        <f t="shared" si="18"/>
        <v>3.4377467707849396</v>
      </c>
      <c r="AH23">
        <f t="shared" si="31"/>
        <v>68</v>
      </c>
      <c r="AI23">
        <f t="shared" si="19"/>
        <v>0.97619456501275748</v>
      </c>
      <c r="AJ23">
        <f t="shared" si="20"/>
        <v>6.2567976218052518E-2</v>
      </c>
      <c r="AK23">
        <f t="shared" si="21"/>
        <v>128.18751191722694</v>
      </c>
      <c r="AL23">
        <f t="shared" si="22"/>
        <v>554.22794117647061</v>
      </c>
      <c r="AM23">
        <f t="shared" si="23"/>
        <v>28.970749189628567</v>
      </c>
      <c r="AN23">
        <f t="shared" si="24"/>
        <v>5692.7522157620133</v>
      </c>
      <c r="AO23">
        <f t="shared" si="32"/>
        <v>800</v>
      </c>
      <c r="AP23">
        <f t="shared" si="25"/>
        <v>1.1606680807479981</v>
      </c>
      <c r="AQ23">
        <f t="shared" si="26"/>
        <v>14.316714169644124</v>
      </c>
      <c r="AR23">
        <f t="shared" si="27"/>
        <v>4.8701412586119996</v>
      </c>
    </row>
    <row r="24" spans="1:44">
      <c r="A24" s="8">
        <f t="shared" si="33"/>
        <v>52.146247474521985</v>
      </c>
      <c r="B24">
        <f t="shared" si="35"/>
        <v>1.9999999999999998</v>
      </c>
      <c r="C24">
        <f t="shared" si="34"/>
        <v>18.669350349926106</v>
      </c>
      <c r="D24" s="11"/>
      <c r="H24">
        <f t="shared" si="28"/>
        <v>82</v>
      </c>
      <c r="I24">
        <f t="shared" si="1"/>
        <v>0.33565761961771201</v>
      </c>
      <c r="J24">
        <f t="shared" si="2"/>
        <v>2.2387409539176124E-2</v>
      </c>
      <c r="K24">
        <f t="shared" si="3"/>
        <v>66.697158743703326</v>
      </c>
      <c r="L24">
        <f t="shared" si="4"/>
        <v>459.60365853658539</v>
      </c>
      <c r="M24">
        <f t="shared" si="5"/>
        <v>32.218332983016332</v>
      </c>
      <c r="N24">
        <f t="shared" si="6"/>
        <v>6330.902431162709</v>
      </c>
      <c r="O24" t="e">
        <f t="shared" si="7"/>
        <v>#DIV/0!</v>
      </c>
      <c r="P24" t="e">
        <f t="shared" si="8"/>
        <v>#DIV/0!</v>
      </c>
      <c r="Q24">
        <f t="shared" si="0"/>
        <v>0</v>
      </c>
      <c r="R24" t="e">
        <f t="shared" si="9"/>
        <v>#DIV/0!</v>
      </c>
      <c r="T24">
        <f t="shared" si="29"/>
        <v>62</v>
      </c>
      <c r="U24">
        <f t="shared" si="10"/>
        <v>0.88070831203544298</v>
      </c>
      <c r="V24">
        <f t="shared" si="11"/>
        <v>5.4089515533887883E-2</v>
      </c>
      <c r="W24">
        <f t="shared" si="12"/>
        <v>92.123887321239081</v>
      </c>
      <c r="X24">
        <f t="shared" si="13"/>
        <v>607.86290322580646</v>
      </c>
      <c r="Y24">
        <f t="shared" si="14"/>
        <v>31.975818986083176</v>
      </c>
      <c r="Z24">
        <f t="shared" si="15"/>
        <v>6283.248430765344</v>
      </c>
      <c r="AA24">
        <f t="shared" si="30"/>
        <v>1000</v>
      </c>
      <c r="AB24">
        <f t="shared" si="16"/>
        <v>1.0740309809138517</v>
      </c>
      <c r="AC24">
        <f t="shared" si="17"/>
        <v>10.135728219081059</v>
      </c>
      <c r="AD24">
        <f t="shared" si="18"/>
        <v>3.5523383298111022</v>
      </c>
      <c r="AH24">
        <f t="shared" si="31"/>
        <v>70</v>
      </c>
      <c r="AI24">
        <f t="shared" si="19"/>
        <v>0.92120891196305943</v>
      </c>
      <c r="AJ24">
        <f t="shared" si="20"/>
        <v>5.7579176721251103E-2</v>
      </c>
      <c r="AK24">
        <f t="shared" si="21"/>
        <v>125.00785863773763</v>
      </c>
      <c r="AL24">
        <f t="shared" si="22"/>
        <v>538.39285714285711</v>
      </c>
      <c r="AM24">
        <f t="shared" si="23"/>
        <v>28.936949895358364</v>
      </c>
      <c r="AN24">
        <f t="shared" si="24"/>
        <v>5686.1106544379181</v>
      </c>
      <c r="AO24">
        <f t="shared" si="32"/>
        <v>800</v>
      </c>
      <c r="AP24">
        <f t="shared" si="25"/>
        <v>1.1789101003295992</v>
      </c>
      <c r="AQ24">
        <f t="shared" si="26"/>
        <v>13.907665193368578</v>
      </c>
      <c r="AR24">
        <f t="shared" si="27"/>
        <v>5.0133807073947043</v>
      </c>
    </row>
    <row r="25" spans="1:44">
      <c r="A25" s="8">
        <f t="shared" si="33"/>
        <v>54.691445750149079</v>
      </c>
      <c r="B25">
        <f t="shared" si="35"/>
        <v>2.1999999999999997</v>
      </c>
      <c r="C25">
        <f t="shared" si="34"/>
        <v>20.138997501117217</v>
      </c>
      <c r="D25" s="11"/>
      <c r="H25">
        <f t="shared" si="28"/>
        <v>84</v>
      </c>
      <c r="I25">
        <f t="shared" si="1"/>
        <v>0.31986420554272893</v>
      </c>
      <c r="J25">
        <f t="shared" si="2"/>
        <v>2.1892358304548984E-2</v>
      </c>
      <c r="K25">
        <f t="shared" si="3"/>
        <v>68.442663871698826</v>
      </c>
      <c r="L25">
        <f t="shared" si="4"/>
        <v>448.66071428571428</v>
      </c>
      <c r="M25">
        <f t="shared" si="5"/>
        <v>31.9383162347773</v>
      </c>
      <c r="N25">
        <f t="shared" si="6"/>
        <v>6275.8791401337394</v>
      </c>
      <c r="O25" t="e">
        <f t="shared" si="7"/>
        <v>#DIV/0!</v>
      </c>
      <c r="P25" t="e">
        <f t="shared" si="8"/>
        <v>#DIV/0!</v>
      </c>
      <c r="Q25">
        <f t="shared" si="0"/>
        <v>0</v>
      </c>
      <c r="R25" t="e">
        <f t="shared" si="9"/>
        <v>#DIV/0!</v>
      </c>
      <c r="T25">
        <f t="shared" si="29"/>
        <v>64</v>
      </c>
      <c r="U25">
        <f t="shared" si="10"/>
        <v>0.82652410924419994</v>
      </c>
      <c r="V25">
        <f t="shared" si="11"/>
        <v>4.9666155314799953E-2</v>
      </c>
      <c r="W25">
        <f t="shared" si="12"/>
        <v>90.135583631461643</v>
      </c>
      <c r="X25">
        <f t="shared" si="13"/>
        <v>588.8671875</v>
      </c>
      <c r="Y25">
        <f t="shared" si="14"/>
        <v>31.918822647586452</v>
      </c>
      <c r="Z25">
        <f t="shared" si="15"/>
        <v>6272.0486502507383</v>
      </c>
      <c r="AA25">
        <f t="shared" si="30"/>
        <v>1000</v>
      </c>
      <c r="AB25">
        <f t="shared" si="16"/>
        <v>1.0836668834085683</v>
      </c>
      <c r="AC25">
        <f t="shared" si="17"/>
        <v>9.8189867122347767</v>
      </c>
      <c r="AD25">
        <f t="shared" si="18"/>
        <v>3.6669298888372661</v>
      </c>
      <c r="AH25">
        <f t="shared" si="31"/>
        <v>72</v>
      </c>
      <c r="AI25">
        <f t="shared" si="19"/>
        <v>0.87074144842187329</v>
      </c>
      <c r="AJ25">
        <f t="shared" si="20"/>
        <v>5.3254791016117631E-2</v>
      </c>
      <c r="AK25">
        <f t="shared" si="21"/>
        <v>122.32056051227677</v>
      </c>
      <c r="AL25">
        <f t="shared" si="22"/>
        <v>523.4375</v>
      </c>
      <c r="AM25">
        <f t="shared" si="23"/>
        <v>28.880419643116074</v>
      </c>
      <c r="AN25">
        <f t="shared" si="24"/>
        <v>5675.0024598723085</v>
      </c>
      <c r="AO25">
        <f t="shared" si="32"/>
        <v>800</v>
      </c>
      <c r="AP25">
        <f t="shared" si="25"/>
        <v>1.1984685680106029</v>
      </c>
      <c r="AQ25">
        <f t="shared" si="26"/>
        <v>13.521341160219452</v>
      </c>
      <c r="AR25">
        <f t="shared" si="27"/>
        <v>5.1566201561774117</v>
      </c>
    </row>
    <row r="26" spans="1:44">
      <c r="A26" s="8">
        <f t="shared" si="33"/>
        <v>57.12335206208499</v>
      </c>
      <c r="B26">
        <f t="shared" si="35"/>
        <v>2.4</v>
      </c>
      <c r="C26">
        <f t="shared" si="34"/>
        <v>21.467498031547869</v>
      </c>
      <c r="D26" s="11"/>
      <c r="H26">
        <f t="shared" si="28"/>
        <v>86</v>
      </c>
      <c r="I26">
        <f t="shared" si="1"/>
        <v>0.30515979371410157</v>
      </c>
      <c r="J26">
        <f t="shared" si="2"/>
        <v>2.14528861922153E-2</v>
      </c>
      <c r="K26">
        <f t="shared" si="3"/>
        <v>70.300500374286202</v>
      </c>
      <c r="L26">
        <f t="shared" si="4"/>
        <v>438.22674418604652</v>
      </c>
      <c r="M26">
        <f t="shared" si="5"/>
        <v>31.641656967811386</v>
      </c>
      <c r="N26">
        <f t="shared" si="6"/>
        <v>6217.5855941749369</v>
      </c>
      <c r="O26" t="e">
        <f t="shared" si="7"/>
        <v>#DIV/0!</v>
      </c>
      <c r="P26" t="e">
        <f t="shared" si="8"/>
        <v>#DIV/0!</v>
      </c>
      <c r="Q26">
        <f t="shared" si="0"/>
        <v>0</v>
      </c>
      <c r="R26" t="e">
        <f t="shared" si="9"/>
        <v>#DIV/0!</v>
      </c>
      <c r="T26">
        <f t="shared" si="29"/>
        <v>66</v>
      </c>
      <c r="U26">
        <f t="shared" si="10"/>
        <v>0.77719071429390341</v>
      </c>
      <c r="V26">
        <f t="shared" si="11"/>
        <v>4.5882991763677078E-2</v>
      </c>
      <c r="W26">
        <f t="shared" si="12"/>
        <v>88.55546827787866</v>
      </c>
      <c r="X26">
        <f t="shared" si="13"/>
        <v>571.02272727272725</v>
      </c>
      <c r="Y26">
        <f t="shared" si="14"/>
        <v>31.842839093660004</v>
      </c>
      <c r="Z26">
        <f t="shared" si="15"/>
        <v>6257.1178819041907</v>
      </c>
      <c r="AA26">
        <f t="shared" si="30"/>
        <v>1000</v>
      </c>
      <c r="AB26">
        <f t="shared" si="16"/>
        <v>1.0941519951554497</v>
      </c>
      <c r="AC26">
        <f t="shared" si="17"/>
        <v>9.5214416603488736</v>
      </c>
      <c r="AD26">
        <f t="shared" si="18"/>
        <v>3.7815214478634331</v>
      </c>
      <c r="AH26">
        <f t="shared" si="31"/>
        <v>74</v>
      </c>
      <c r="AI26">
        <f t="shared" si="19"/>
        <v>0.82431038506555709</v>
      </c>
      <c r="AJ26">
        <f t="shared" si="20"/>
        <v>4.9491406590643716E-2</v>
      </c>
      <c r="AK26">
        <f t="shared" si="21"/>
        <v>120.07954160788033</v>
      </c>
      <c r="AL26">
        <f t="shared" si="22"/>
        <v>509.29054054054052</v>
      </c>
      <c r="AM26">
        <f t="shared" si="23"/>
        <v>28.801613921016852</v>
      </c>
      <c r="AN26">
        <f t="shared" si="24"/>
        <v>5659.5171354798113</v>
      </c>
      <c r="AO26">
        <f t="shared" si="32"/>
        <v>800</v>
      </c>
      <c r="AP26">
        <f t="shared" si="25"/>
        <v>1.2193708934868237</v>
      </c>
      <c r="AQ26">
        <f t="shared" si="26"/>
        <v>13.155899507240546</v>
      </c>
      <c r="AR26">
        <f t="shared" si="27"/>
        <v>5.2998596049601145</v>
      </c>
    </row>
    <row r="27" spans="1:44">
      <c r="A27" s="8">
        <f t="shared" si="33"/>
        <v>59.455869881587958</v>
      </c>
      <c r="B27">
        <f t="shared" si="35"/>
        <v>2.6</v>
      </c>
      <c r="C27">
        <f t="shared" si="34"/>
        <v>22.68862326869688</v>
      </c>
      <c r="D27" s="11"/>
      <c r="H27">
        <f t="shared" si="28"/>
        <v>88</v>
      </c>
      <c r="I27">
        <f t="shared" si="1"/>
        <v>0.29144651786021381</v>
      </c>
      <c r="J27">
        <f t="shared" si="2"/>
        <v>2.1061670716767091E-2</v>
      </c>
      <c r="K27">
        <f t="shared" si="3"/>
        <v>72.265988529905442</v>
      </c>
      <c r="L27">
        <f t="shared" si="4"/>
        <v>428.26704545454544</v>
      </c>
      <c r="M27">
        <f t="shared" si="5"/>
        <v>31.32809300936832</v>
      </c>
      <c r="N27">
        <f t="shared" si="6"/>
        <v>6155.970276340875</v>
      </c>
      <c r="O27" t="e">
        <f t="shared" si="7"/>
        <v>#DIV/0!</v>
      </c>
      <c r="P27" t="e">
        <f t="shared" si="8"/>
        <v>#DIV/0!</v>
      </c>
      <c r="Q27">
        <f t="shared" si="0"/>
        <v>0</v>
      </c>
      <c r="R27" t="e">
        <f t="shared" si="9"/>
        <v>#DIV/0!</v>
      </c>
      <c r="T27">
        <f t="shared" si="29"/>
        <v>68</v>
      </c>
      <c r="U27">
        <f t="shared" si="10"/>
        <v>0.73214592375956811</v>
      </c>
      <c r="V27">
        <f t="shared" si="11"/>
        <v>4.2631986622654536E-2</v>
      </c>
      <c r="W27">
        <f t="shared" si="12"/>
        <v>87.343216507453903</v>
      </c>
      <c r="X27">
        <f t="shared" si="13"/>
        <v>554.22794117647061</v>
      </c>
      <c r="Y27">
        <f t="shared" si="14"/>
        <v>31.748161277493136</v>
      </c>
      <c r="Z27">
        <f t="shared" si="15"/>
        <v>6238.5136910274014</v>
      </c>
      <c r="AA27">
        <f t="shared" si="30"/>
        <v>1000</v>
      </c>
      <c r="AB27">
        <f t="shared" si="16"/>
        <v>1.1055208057504093</v>
      </c>
      <c r="AC27">
        <f t="shared" si="17"/>
        <v>9.2413992585739066</v>
      </c>
      <c r="AD27">
        <f t="shared" si="18"/>
        <v>3.8961130068895966</v>
      </c>
      <c r="AH27">
        <f t="shared" si="31"/>
        <v>76</v>
      </c>
      <c r="AI27">
        <f t="shared" si="19"/>
        <v>0.78149648002406358</v>
      </c>
      <c r="AJ27">
        <f t="shared" si="20"/>
        <v>4.620391143183343E-2</v>
      </c>
      <c r="AK27">
        <f t="shared" si="21"/>
        <v>118.24470771873659</v>
      </c>
      <c r="AL27">
        <f t="shared" si="22"/>
        <v>495.88815789473682</v>
      </c>
      <c r="AM27">
        <f t="shared" si="23"/>
        <v>28.700902213376015</v>
      </c>
      <c r="AN27">
        <f t="shared" si="24"/>
        <v>5639.7272849283872</v>
      </c>
      <c r="AO27">
        <f t="shared" si="32"/>
        <v>800</v>
      </c>
      <c r="AP27">
        <f t="shared" si="25"/>
        <v>1.2416408466666471</v>
      </c>
      <c r="AQ27">
        <f t="shared" si="26"/>
        <v>12.809691625471061</v>
      </c>
      <c r="AR27">
        <f t="shared" si="27"/>
        <v>5.4430990537428201</v>
      </c>
    </row>
    <row r="28" spans="1:44">
      <c r="A28" s="8">
        <f t="shared" si="33"/>
        <v>61.700272089705791</v>
      </c>
      <c r="B28">
        <f t="shared" si="35"/>
        <v>2.8000000000000003</v>
      </c>
      <c r="C28">
        <f t="shared" si="34"/>
        <v>23.824983658715617</v>
      </c>
      <c r="D28" s="11"/>
      <c r="H28">
        <f t="shared" si="28"/>
        <v>90</v>
      </c>
      <c r="I28">
        <f t="shared" si="1"/>
        <v>0.27863726349499945</v>
      </c>
      <c r="J28">
        <f t="shared" si="2"/>
        <v>2.0712490600050447E-2</v>
      </c>
      <c r="K28">
        <f t="shared" si="3"/>
        <v>74.334962740624832</v>
      </c>
      <c r="L28">
        <f t="shared" si="4"/>
        <v>418.75</v>
      </c>
      <c r="M28">
        <f t="shared" si="5"/>
        <v>30.997353353343762</v>
      </c>
      <c r="N28">
        <f t="shared" si="6"/>
        <v>6090.9799339320489</v>
      </c>
      <c r="O28" t="e">
        <f t="shared" si="7"/>
        <v>#DIV/0!</v>
      </c>
      <c r="P28" t="e">
        <f t="shared" si="8"/>
        <v>#DIV/0!</v>
      </c>
      <c r="Q28">
        <f t="shared" si="0"/>
        <v>0</v>
      </c>
      <c r="R28" t="e">
        <f t="shared" si="9"/>
        <v>#DIV/0!</v>
      </c>
      <c r="T28">
        <f t="shared" si="29"/>
        <v>70</v>
      </c>
      <c r="U28">
        <f t="shared" si="10"/>
        <v>0.69090668397229449</v>
      </c>
      <c r="V28">
        <f t="shared" si="11"/>
        <v>3.9825786905703736E-2</v>
      </c>
      <c r="W28">
        <f t="shared" si="12"/>
        <v>86.464180683698729</v>
      </c>
      <c r="X28">
        <f t="shared" si="13"/>
        <v>538.39285714285711</v>
      </c>
      <c r="Y28">
        <f t="shared" si="14"/>
        <v>31.635007352141088</v>
      </c>
      <c r="Z28">
        <f t="shared" si="15"/>
        <v>6216.278944695724</v>
      </c>
      <c r="AA28">
        <f t="shared" si="30"/>
        <v>1000</v>
      </c>
      <c r="AB28">
        <f t="shared" si="16"/>
        <v>1.1178061440973801</v>
      </c>
      <c r="AC28">
        <f t="shared" si="17"/>
        <v>8.9773592797575095</v>
      </c>
      <c r="AD28">
        <f t="shared" si="18"/>
        <v>4.0107045659157601</v>
      </c>
      <c r="AH28">
        <f t="shared" si="31"/>
        <v>78</v>
      </c>
      <c r="AI28">
        <f t="shared" si="19"/>
        <v>0.74193354185059024</v>
      </c>
      <c r="AJ28">
        <f t="shared" si="20"/>
        <v>4.3321884615742282E-2</v>
      </c>
      <c r="AK28">
        <f t="shared" si="21"/>
        <v>116.7810381174717</v>
      </c>
      <c r="AL28">
        <f t="shared" si="22"/>
        <v>483.17307692307691</v>
      </c>
      <c r="AM28">
        <f t="shared" si="23"/>
        <v>28.578579026837208</v>
      </c>
      <c r="AN28">
        <f t="shared" si="24"/>
        <v>5615.6907787735108</v>
      </c>
      <c r="AO28">
        <f t="shared" si="32"/>
        <v>800</v>
      </c>
      <c r="AP28">
        <f t="shared" si="25"/>
        <v>1.2652986039635685</v>
      </c>
      <c r="AQ28">
        <f t="shared" si="26"/>
        <v>12.481237994048724</v>
      </c>
      <c r="AR28">
        <f t="shared" si="27"/>
        <v>5.5863385025255266</v>
      </c>
    </row>
    <row r="29" spans="1:44">
      <c r="A29" s="8">
        <f t="shared" si="33"/>
        <v>63.865849156737411</v>
      </c>
      <c r="B29">
        <f t="shared" si="35"/>
        <v>3.0000000000000004</v>
      </c>
      <c r="C29">
        <f t="shared" si="34"/>
        <v>24.892467133234813</v>
      </c>
      <c r="D29" s="11"/>
      <c r="H29">
        <f t="shared" si="28"/>
        <v>92</v>
      </c>
      <c r="I29">
        <f t="shared" si="1"/>
        <v>0.26665428099119748</v>
      </c>
      <c r="J29">
        <f t="shared" si="2"/>
        <v>2.0400040506669829E-2</v>
      </c>
      <c r="K29">
        <f t="shared" si="3"/>
        <v>76.503705212755435</v>
      </c>
      <c r="L29">
        <f t="shared" si="4"/>
        <v>409.64673913043481</v>
      </c>
      <c r="M29">
        <f t="shared" si="5"/>
        <v>30.649159120426503</v>
      </c>
      <c r="N29">
        <f t="shared" si="6"/>
        <v>6022.5597671638079</v>
      </c>
      <c r="O29" t="e">
        <f t="shared" si="7"/>
        <v>#DIV/0!</v>
      </c>
      <c r="P29" t="e">
        <f t="shared" si="8"/>
        <v>#DIV/0!</v>
      </c>
      <c r="Q29">
        <f t="shared" si="0"/>
        <v>0</v>
      </c>
      <c r="R29" t="e">
        <f t="shared" si="9"/>
        <v>#DIV/0!</v>
      </c>
      <c r="T29">
        <f t="shared" si="29"/>
        <v>72</v>
      </c>
      <c r="U29">
        <f t="shared" si="10"/>
        <v>0.65305608631640499</v>
      </c>
      <c r="V29">
        <f t="shared" si="11"/>
        <v>3.7393319946566167E-2</v>
      </c>
      <c r="W29">
        <f t="shared" si="12"/>
        <v>85.888457507880446</v>
      </c>
      <c r="X29">
        <f t="shared" si="13"/>
        <v>523.4375</v>
      </c>
      <c r="Y29">
        <f t="shared" si="14"/>
        <v>31.503531059432607</v>
      </c>
      <c r="Z29">
        <f t="shared" si="15"/>
        <v>6190.4438531785072</v>
      </c>
      <c r="AA29">
        <f t="shared" si="30"/>
        <v>1000</v>
      </c>
      <c r="AB29">
        <f t="shared" si="16"/>
        <v>1.1310390008509903</v>
      </c>
      <c r="AC29">
        <f t="shared" si="17"/>
        <v>8.7279881886531356</v>
      </c>
      <c r="AD29">
        <f t="shared" si="18"/>
        <v>4.1252961249419302</v>
      </c>
      <c r="AH29">
        <f t="shared" si="31"/>
        <v>80</v>
      </c>
      <c r="AI29">
        <f t="shared" si="19"/>
        <v>0.70530057322171724</v>
      </c>
      <c r="AJ29">
        <f t="shared" si="20"/>
        <v>4.0786768385674771E-2</v>
      </c>
      <c r="AK29">
        <f t="shared" si="21"/>
        <v>115.65783421773315</v>
      </c>
      <c r="AL29">
        <f t="shared" si="22"/>
        <v>471.09375</v>
      </c>
      <c r="AM29">
        <f t="shared" si="23"/>
        <v>28.434873262581348</v>
      </c>
      <c r="AN29">
        <f t="shared" si="24"/>
        <v>5587.4525960972351</v>
      </c>
      <c r="AO29">
        <f t="shared" si="32"/>
        <v>800</v>
      </c>
      <c r="AP29">
        <f t="shared" si="25"/>
        <v>1.2903608432492293</v>
      </c>
      <c r="AQ29">
        <f t="shared" si="26"/>
        <v>12.169207044197506</v>
      </c>
      <c r="AR29">
        <f t="shared" si="27"/>
        <v>5.7295779513082312</v>
      </c>
    </row>
    <row r="30" spans="1:44">
      <c r="A30" s="8">
        <f t="shared" si="33"/>
        <v>65.960365380117068</v>
      </c>
      <c r="B30">
        <f>B29+$B$14</f>
        <v>3.2000000000000006</v>
      </c>
      <c r="C30">
        <f t="shared" si="34"/>
        <v>25.902672387032787</v>
      </c>
      <c r="D30" s="11"/>
      <c r="H30">
        <f t="shared" si="28"/>
        <v>94</v>
      </c>
      <c r="I30">
        <f t="shared" si="1"/>
        <v>0.2554280029775346</v>
      </c>
      <c r="J30">
        <f t="shared" si="2"/>
        <v>2.0119780118174092E-2</v>
      </c>
      <c r="K30">
        <f t="shared" si="3"/>
        <v>78.768889407727428</v>
      </c>
      <c r="L30">
        <f t="shared" si="4"/>
        <v>400.93085106382978</v>
      </c>
      <c r="M30">
        <f t="shared" si="5"/>
        <v>30.283224395673621</v>
      </c>
      <c r="N30">
        <f t="shared" si="6"/>
        <v>5950.6535937498666</v>
      </c>
      <c r="O30" t="e">
        <f t="shared" si="7"/>
        <v>#DIV/0!</v>
      </c>
      <c r="P30" t="e">
        <f t="shared" si="8"/>
        <v>#DIV/0!</v>
      </c>
      <c r="Q30">
        <f t="shared" si="0"/>
        <v>0</v>
      </c>
      <c r="R30" t="e">
        <f t="shared" si="9"/>
        <v>#DIV/0!</v>
      </c>
      <c r="T30">
        <f t="shared" si="29"/>
        <v>74</v>
      </c>
      <c r="U30">
        <f t="shared" si="10"/>
        <v>0.61823278879916788</v>
      </c>
      <c r="V30">
        <f t="shared" si="11"/>
        <v>3.5276416207237093E-2</v>
      </c>
      <c r="W30">
        <f t="shared" si="12"/>
        <v>85.590129267706772</v>
      </c>
      <c r="X30">
        <f t="shared" si="13"/>
        <v>509.29054054054052</v>
      </c>
      <c r="Y30">
        <f t="shared" si="14"/>
        <v>31.3538304341897</v>
      </c>
      <c r="Z30">
        <f t="shared" si="15"/>
        <v>6161.027680318276</v>
      </c>
      <c r="AA30">
        <f t="shared" si="30"/>
        <v>1000</v>
      </c>
      <c r="AB30">
        <f t="shared" si="16"/>
        <v>1.1452483750545237</v>
      </c>
      <c r="AC30">
        <f t="shared" si="17"/>
        <v>8.4920966159868332</v>
      </c>
      <c r="AD30">
        <f t="shared" si="18"/>
        <v>4.2398876839680915</v>
      </c>
      <c r="AH30">
        <f t="shared" si="31"/>
        <v>82</v>
      </c>
      <c r="AI30">
        <f t="shared" si="19"/>
        <v>0.67131523923542402</v>
      </c>
      <c r="AJ30">
        <f t="shared" si="20"/>
        <v>3.8549638156704494E-2</v>
      </c>
      <c r="AK30">
        <f t="shared" si="21"/>
        <v>114.84809491472156</v>
      </c>
      <c r="AL30">
        <f t="shared" si="22"/>
        <v>459.60365853658539</v>
      </c>
      <c r="AM30">
        <f t="shared" si="23"/>
        <v>28.269956216992831</v>
      </c>
      <c r="AN30">
        <f t="shared" si="24"/>
        <v>5555.0463966390917</v>
      </c>
      <c r="AO30">
        <f t="shared" si="32"/>
        <v>800</v>
      </c>
      <c r="AP30">
        <f t="shared" si="25"/>
        <v>1.3168408815185499</v>
      </c>
      <c r="AQ30">
        <f t="shared" si="26"/>
        <v>11.872397116290252</v>
      </c>
      <c r="AR30">
        <f t="shared" si="27"/>
        <v>5.8728174000909386</v>
      </c>
    </row>
    <row r="31" spans="1:44">
      <c r="A31" s="8">
        <f t="shared" si="33"/>
        <v>67.990388391639272</v>
      </c>
      <c r="B31">
        <f t="shared" si="35"/>
        <v>3.4000000000000008</v>
      </c>
      <c r="C31">
        <f t="shared" si="34"/>
        <v>26.864333905962372</v>
      </c>
      <c r="D31" s="11"/>
      <c r="H31">
        <f t="shared" si="28"/>
        <v>96</v>
      </c>
      <c r="I31">
        <f t="shared" si="1"/>
        <v>0.24489603236865187</v>
      </c>
      <c r="J31">
        <f t="shared" si="2"/>
        <v>1.9867810617485868E-2</v>
      </c>
      <c r="K31">
        <f t="shared" si="3"/>
        <v>81.127531652199465</v>
      </c>
      <c r="L31">
        <f t="shared" si="4"/>
        <v>392.578125</v>
      </c>
      <c r="M31">
        <f t="shared" si="5"/>
        <v>29.899256961388847</v>
      </c>
      <c r="N31">
        <f t="shared" si="6"/>
        <v>5875.2039929129087</v>
      </c>
      <c r="O31" t="e">
        <f t="shared" si="7"/>
        <v>#DIV/0!</v>
      </c>
      <c r="P31" t="e">
        <f t="shared" si="8"/>
        <v>#DIV/0!</v>
      </c>
      <c r="Q31">
        <f t="shared" si="0"/>
        <v>0</v>
      </c>
      <c r="R31" t="e">
        <f t="shared" si="9"/>
        <v>#DIV/0!</v>
      </c>
      <c r="T31">
        <f t="shared" si="29"/>
        <v>76</v>
      </c>
      <c r="U31">
        <f t="shared" si="10"/>
        <v>0.58612236001804774</v>
      </c>
      <c r="V31">
        <f t="shared" si="11"/>
        <v>3.3427200180406305E-2</v>
      </c>
      <c r="W31">
        <f t="shared" si="12"/>
        <v>85.546642972408605</v>
      </c>
      <c r="X31">
        <f t="shared" si="13"/>
        <v>495.88815789473682</v>
      </c>
      <c r="Y31">
        <f t="shared" si="14"/>
        <v>31.185955134096943</v>
      </c>
      <c r="Z31">
        <f t="shared" si="15"/>
        <v>6128.0401838500493</v>
      </c>
      <c r="AA31">
        <f t="shared" si="30"/>
        <v>1000</v>
      </c>
      <c r="AB31">
        <f t="shared" si="16"/>
        <v>1.16046114754053</v>
      </c>
      <c r="AC31">
        <f t="shared" si="17"/>
        <v>8.2686203892503389</v>
      </c>
      <c r="AD31">
        <f t="shared" si="18"/>
        <v>4.3544792429942563</v>
      </c>
      <c r="AH31">
        <f t="shared" si="31"/>
        <v>84</v>
      </c>
      <c r="AI31">
        <f t="shared" si="19"/>
        <v>0.63972841108545786</v>
      </c>
      <c r="AJ31">
        <f t="shared" si="20"/>
        <v>3.6569433218195932E-2</v>
      </c>
      <c r="AK31">
        <f t="shared" si="21"/>
        <v>114.32799476936415</v>
      </c>
      <c r="AL31">
        <f t="shared" si="22"/>
        <v>448.66071428571428</v>
      </c>
      <c r="AM31">
        <f t="shared" si="23"/>
        <v>28.083948439373412</v>
      </c>
      <c r="AN31">
        <f t="shared" si="24"/>
        <v>5518.495868336875</v>
      </c>
      <c r="AO31">
        <f t="shared" si="32"/>
        <v>800</v>
      </c>
      <c r="AP31">
        <f t="shared" si="25"/>
        <v>1.3447488484967014</v>
      </c>
      <c r="AQ31">
        <f t="shared" si="26"/>
        <v>11.589720994473813</v>
      </c>
      <c r="AR31">
        <f t="shared" si="27"/>
        <v>6.0160568488736441</v>
      </c>
    </row>
    <row r="32" spans="1:44">
      <c r="A32" s="8">
        <f t="shared" si="33"/>
        <v>69.961532474734739</v>
      </c>
      <c r="B32">
        <f t="shared" si="35"/>
        <v>3.600000000000001</v>
      </c>
      <c r="C32">
        <f t="shared" si="34"/>
        <v>27.784201226729365</v>
      </c>
      <c r="D32" s="11"/>
      <c r="H32">
        <f t="shared" si="28"/>
        <v>98</v>
      </c>
      <c r="I32">
        <f t="shared" si="1"/>
        <v>0.23500227345996413</v>
      </c>
      <c r="J32">
        <f t="shared" si="2"/>
        <v>1.9640773162305492E-2</v>
      </c>
      <c r="K32">
        <f t="shared" si="3"/>
        <v>83.576949589177346</v>
      </c>
      <c r="L32">
        <f t="shared" si="4"/>
        <v>384.56632653061223</v>
      </c>
      <c r="M32">
        <f t="shared" si="5"/>
        <v>29.496958940260622</v>
      </c>
      <c r="N32">
        <f t="shared" si="6"/>
        <v>5796.152431761212</v>
      </c>
      <c r="O32" t="e">
        <f t="shared" si="7"/>
        <v>#DIV/0!</v>
      </c>
      <c r="P32" t="e">
        <f t="shared" si="8"/>
        <v>#DIV/0!</v>
      </c>
      <c r="Q32">
        <f t="shared" si="0"/>
        <v>0</v>
      </c>
      <c r="R32" t="e">
        <f t="shared" si="9"/>
        <v>#DIV/0!</v>
      </c>
      <c r="T32">
        <f t="shared" si="29"/>
        <v>78</v>
      </c>
      <c r="U32">
        <f t="shared" si="10"/>
        <v>0.5564501563879426</v>
      </c>
      <c r="V32">
        <f t="shared" si="11"/>
        <v>3.1806060096355025E-2</v>
      </c>
      <c r="W32">
        <f t="shared" si="12"/>
        <v>85.738299462838128</v>
      </c>
      <c r="X32">
        <f t="shared" si="13"/>
        <v>483.17307692307691</v>
      </c>
      <c r="Y32">
        <f t="shared" si="14"/>
        <v>30.999912641898625</v>
      </c>
      <c r="Z32">
        <f t="shared" si="15"/>
        <v>6091.4828341330795</v>
      </c>
      <c r="AA32">
        <f t="shared" si="30"/>
        <v>1000</v>
      </c>
      <c r="AB32">
        <f t="shared" si="16"/>
        <v>1.1767019829179262</v>
      </c>
      <c r="AC32">
        <f t="shared" si="17"/>
        <v>8.0566044818336628</v>
      </c>
      <c r="AD32">
        <f t="shared" si="18"/>
        <v>4.4690708020204202</v>
      </c>
      <c r="AH32">
        <f t="shared" si="31"/>
        <v>86</v>
      </c>
      <c r="AI32">
        <f t="shared" si="19"/>
        <v>0.61031958742820314</v>
      </c>
      <c r="AJ32">
        <f t="shared" si="20"/>
        <v>3.4811544768861197E-2</v>
      </c>
      <c r="AK32">
        <f t="shared" si="21"/>
        <v>114.07644613063106</v>
      </c>
      <c r="AL32">
        <f t="shared" si="22"/>
        <v>438.22674418604652</v>
      </c>
      <c r="AM32">
        <f t="shared" si="23"/>
        <v>27.87692563276573</v>
      </c>
      <c r="AN32">
        <f t="shared" si="24"/>
        <v>5477.8158868384662</v>
      </c>
      <c r="AO32">
        <f t="shared" si="32"/>
        <v>800</v>
      </c>
      <c r="AP32">
        <f t="shared" si="25"/>
        <v>1.3740918889722828</v>
      </c>
      <c r="AQ32">
        <f t="shared" si="26"/>
        <v>11.320192599253495</v>
      </c>
      <c r="AR32">
        <f t="shared" si="27"/>
        <v>6.1592962976563506</v>
      </c>
    </row>
    <row r="33" spans="1:44">
      <c r="A33" s="8">
        <f t="shared" si="33"/>
        <v>71.878641742737287</v>
      </c>
      <c r="B33">
        <f t="shared" si="35"/>
        <v>3.8000000000000012</v>
      </c>
      <c r="C33">
        <f t="shared" si="34"/>
        <v>28.667605028631939</v>
      </c>
      <c r="D33" s="11"/>
      <c r="H33">
        <f t="shared" si="28"/>
        <v>100</v>
      </c>
      <c r="I33">
        <f t="shared" si="1"/>
        <v>0.22569618343094955</v>
      </c>
      <c r="J33">
        <f t="shared" si="2"/>
        <v>1.94357650826931E-2</v>
      </c>
      <c r="K33">
        <f t="shared" si="3"/>
        <v>86.11472638676392</v>
      </c>
      <c r="L33">
        <f t="shared" si="4"/>
        <v>376.875</v>
      </c>
      <c r="M33">
        <f t="shared" si="5"/>
        <v>29.076027361323611</v>
      </c>
      <c r="N33">
        <f t="shared" si="6"/>
        <v>5713.4393765000896</v>
      </c>
      <c r="O33" t="e">
        <f t="shared" si="7"/>
        <v>#DIV/0!</v>
      </c>
      <c r="P33" t="e">
        <f t="shared" si="8"/>
        <v>#DIV/0!</v>
      </c>
      <c r="Q33">
        <f t="shared" si="0"/>
        <v>0</v>
      </c>
      <c r="R33" t="e">
        <f t="shared" si="9"/>
        <v>#DIV/0!</v>
      </c>
      <c r="T33" s="24">
        <f t="shared" si="29"/>
        <v>80</v>
      </c>
      <c r="U33" s="24">
        <f t="shared" si="10"/>
        <v>0.52897542991628799</v>
      </c>
      <c r="V33" s="24">
        <f t="shared" si="11"/>
        <v>3.0380057216942064E-2</v>
      </c>
      <c r="W33" s="24">
        <f t="shared" si="12"/>
        <v>86.147830784172157</v>
      </c>
      <c r="X33" s="24">
        <f t="shared" si="13"/>
        <v>471.09375</v>
      </c>
      <c r="Y33" s="24">
        <f t="shared" si="14"/>
        <v>30.795673537266229</v>
      </c>
      <c r="Z33" s="24">
        <f t="shared" si="15"/>
        <v>6051.3498500728138</v>
      </c>
      <c r="AA33" s="24">
        <f t="shared" si="30"/>
        <v>1000</v>
      </c>
      <c r="AB33" s="24">
        <f t="shared" si="16"/>
        <v>1.1939932611644639</v>
      </c>
      <c r="AC33" s="24">
        <f t="shared" si="17"/>
        <v>7.855189369787821</v>
      </c>
      <c r="AD33" s="24">
        <f t="shared" si="18"/>
        <v>4.5836623610465859</v>
      </c>
      <c r="AH33">
        <f t="shared" si="31"/>
        <v>88</v>
      </c>
      <c r="AI33">
        <f t="shared" si="19"/>
        <v>0.58289303572042761</v>
      </c>
      <c r="AJ33">
        <f t="shared" si="20"/>
        <v>3.3246682867068361E-2</v>
      </c>
      <c r="AK33">
        <f t="shared" si="21"/>
        <v>114.07473011228234</v>
      </c>
      <c r="AL33">
        <f t="shared" si="22"/>
        <v>428.26704545454544</v>
      </c>
      <c r="AM33">
        <f t="shared" si="23"/>
        <v>27.648923750119152</v>
      </c>
      <c r="AN33">
        <f t="shared" si="24"/>
        <v>5433.0135168984134</v>
      </c>
      <c r="AO33">
        <f t="shared" si="32"/>
        <v>800</v>
      </c>
      <c r="AP33">
        <f t="shared" si="25"/>
        <v>1.4048743865514814</v>
      </c>
      <c r="AQ33">
        <f t="shared" si="26"/>
        <v>11.062915494725006</v>
      </c>
      <c r="AR33">
        <f t="shared" si="27"/>
        <v>6.3025357464390561</v>
      </c>
    </row>
    <row r="34" spans="1:44">
      <c r="A34" s="8">
        <f t="shared" si="33"/>
        <v>73.745930405332757</v>
      </c>
      <c r="B34">
        <f t="shared" si="35"/>
        <v>4.0000000000000009</v>
      </c>
      <c r="C34">
        <f t="shared" si="34"/>
        <v>29.51883477071403</v>
      </c>
      <c r="D34" s="11"/>
      <c r="H34">
        <f t="shared" si="28"/>
        <v>102</v>
      </c>
      <c r="I34">
        <f t="shared" si="1"/>
        <v>0.21693212555839056</v>
      </c>
      <c r="J34">
        <f t="shared" si="2"/>
        <v>1.9250270430521112E-2</v>
      </c>
      <c r="K34">
        <f t="shared" si="3"/>
        <v>88.738679810425808</v>
      </c>
      <c r="L34">
        <f t="shared" si="4"/>
        <v>369.48529411764707</v>
      </c>
      <c r="M34">
        <f t="shared" si="5"/>
        <v>28.636154659336569</v>
      </c>
      <c r="N34">
        <f t="shared" si="6"/>
        <v>5627.0043905596358</v>
      </c>
      <c r="O34" t="e">
        <f t="shared" si="7"/>
        <v>#DIV/0!</v>
      </c>
      <c r="P34" t="e">
        <f t="shared" si="8"/>
        <v>#DIV/0!</v>
      </c>
      <c r="Q34">
        <f t="shared" si="0"/>
        <v>0</v>
      </c>
      <c r="R34" t="e">
        <f t="shared" si="9"/>
        <v>#DIV/0!</v>
      </c>
      <c r="T34">
        <f t="shared" si="29"/>
        <v>82</v>
      </c>
      <c r="U34">
        <f t="shared" si="10"/>
        <v>0.50348642942656796</v>
      </c>
      <c r="V34">
        <f t="shared" si="11"/>
        <v>2.9121671463146273E-2</v>
      </c>
      <c r="W34">
        <f t="shared" si="12"/>
        <v>86.760048814960911</v>
      </c>
      <c r="X34">
        <f t="shared" si="13"/>
        <v>459.60365853658539</v>
      </c>
      <c r="Y34">
        <f t="shared" si="14"/>
        <v>30.573175997173209</v>
      </c>
      <c r="Z34">
        <f t="shared" si="15"/>
        <v>6007.6290834445354</v>
      </c>
      <c r="AA34">
        <f t="shared" si="30"/>
        <v>1000</v>
      </c>
      <c r="AB34">
        <f t="shared" si="16"/>
        <v>1.212355039018139</v>
      </c>
      <c r="AC34">
        <f t="shared" si="17"/>
        <v>7.6635993851588511</v>
      </c>
      <c r="AD34">
        <f t="shared" si="18"/>
        <v>4.6982539200727524</v>
      </c>
      <c r="AH34" s="24">
        <f t="shared" si="31"/>
        <v>90</v>
      </c>
      <c r="AI34" s="24">
        <f t="shared" si="19"/>
        <v>0.55727452698999891</v>
      </c>
      <c r="AJ34" s="24">
        <f t="shared" si="20"/>
        <v>3.1849962400201784E-2</v>
      </c>
      <c r="AK34" s="24">
        <f t="shared" si="21"/>
        <v>114.30618432259108</v>
      </c>
      <c r="AL34" s="24">
        <f t="shared" si="22"/>
        <v>418.75</v>
      </c>
      <c r="AM34" s="24">
        <f t="shared" si="23"/>
        <v>27.399943410966799</v>
      </c>
      <c r="AN34" s="24">
        <f t="shared" si="24"/>
        <v>5384.0888802549762</v>
      </c>
      <c r="AO34" s="24">
        <f t="shared" si="32"/>
        <v>800</v>
      </c>
      <c r="AP34" s="24">
        <f t="shared" si="25"/>
        <v>1.4370982017517071</v>
      </c>
      <c r="AQ34" s="24">
        <f t="shared" si="26"/>
        <v>10.817072928175561</v>
      </c>
      <c r="AR34" s="24">
        <f t="shared" si="27"/>
        <v>6.4457751952217626</v>
      </c>
    </row>
    <row r="35" spans="1:44">
      <c r="A35" s="8">
        <f t="shared" si="33"/>
        <v>75.56709180533278</v>
      </c>
      <c r="B35">
        <f t="shared" si="35"/>
        <v>4.2000000000000011</v>
      </c>
      <c r="C35">
        <f t="shared" si="34"/>
        <v>30.341398328694233</v>
      </c>
      <c r="D35" s="11"/>
      <c r="H35">
        <f t="shared" si="28"/>
        <v>104</v>
      </c>
      <c r="I35">
        <f t="shared" si="1"/>
        <v>0.20866880864547849</v>
      </c>
      <c r="J35">
        <f t="shared" si="2"/>
        <v>1.9082102201049927E-2</v>
      </c>
      <c r="K35">
        <f t="shared" si="3"/>
        <v>91.446835417888437</v>
      </c>
      <c r="L35">
        <f t="shared" si="4"/>
        <v>362.37980769230768</v>
      </c>
      <c r="M35">
        <f t="shared" si="5"/>
        <v>28.1770291165396</v>
      </c>
      <c r="N35">
        <f t="shared" si="6"/>
        <v>5536.7862214000315</v>
      </c>
      <c r="O35" t="e">
        <f t="shared" si="7"/>
        <v>#DIV/0!</v>
      </c>
      <c r="P35" t="e">
        <f t="shared" si="8"/>
        <v>#DIV/0!</v>
      </c>
      <c r="Q35">
        <f t="shared" si="0"/>
        <v>0</v>
      </c>
      <c r="R35" t="e">
        <f t="shared" si="9"/>
        <v>#DIV/0!</v>
      </c>
      <c r="T35">
        <f t="shared" si="29"/>
        <v>84</v>
      </c>
      <c r="U35">
        <f t="shared" si="10"/>
        <v>0.47979630831409342</v>
      </c>
      <c r="V35">
        <f t="shared" si="11"/>
        <v>2.8007806185235216E-2</v>
      </c>
      <c r="W35">
        <f t="shared" si="12"/>
        <v>87.561551745726049</v>
      </c>
      <c r="X35">
        <f t="shared" si="13"/>
        <v>448.66071428571428</v>
      </c>
      <c r="Y35">
        <f t="shared" si="14"/>
        <v>30.332329653359011</v>
      </c>
      <c r="Z35">
        <f t="shared" si="15"/>
        <v>5960.3027768850461</v>
      </c>
      <c r="AA35">
        <f t="shared" si="30"/>
        <v>1000</v>
      </c>
      <c r="AB35">
        <f t="shared" si="16"/>
        <v>1.231805040556845</v>
      </c>
      <c r="AC35">
        <f t="shared" si="17"/>
        <v>7.4811327331312585</v>
      </c>
      <c r="AD35">
        <f t="shared" si="18"/>
        <v>4.8128454790989146</v>
      </c>
      <c r="AH35">
        <f t="shared" si="31"/>
        <v>92</v>
      </c>
      <c r="AI35">
        <f t="shared" si="19"/>
        <v>0.53330856198239496</v>
      </c>
      <c r="AJ35">
        <f t="shared" si="20"/>
        <v>3.0600162026679308E-2</v>
      </c>
      <c r="AK35">
        <f t="shared" si="21"/>
        <v>114.75593758680158</v>
      </c>
      <c r="AL35">
        <f t="shared" si="22"/>
        <v>409.64673913043481</v>
      </c>
      <c r="AM35">
        <f t="shared" si="23"/>
        <v>27.129953742014258</v>
      </c>
      <c r="AN35">
        <f t="shared" si="24"/>
        <v>5331.0359103058017</v>
      </c>
      <c r="AO35">
        <f t="shared" si="32"/>
        <v>800</v>
      </c>
      <c r="AP35">
        <f t="shared" si="25"/>
        <v>1.4707629178329964</v>
      </c>
      <c r="AQ35">
        <f t="shared" si="26"/>
        <v>10.581919168867397</v>
      </c>
      <c r="AR35">
        <f t="shared" si="27"/>
        <v>6.5890146440044681</v>
      </c>
    </row>
    <row r="36" spans="1:44">
      <c r="A36" s="8">
        <f t="shared" si="33"/>
        <v>77.345384325653214</v>
      </c>
      <c r="B36">
        <f>B35+$B$14</f>
        <v>4.4000000000000012</v>
      </c>
      <c r="C36">
        <f t="shared" si="34"/>
        <v>31.13820520918366</v>
      </c>
      <c r="D36" s="11"/>
      <c r="H36">
        <f t="shared" si="28"/>
        <v>106</v>
      </c>
      <c r="I36">
        <f t="shared" si="1"/>
        <v>0.20086879977834596</v>
      </c>
      <c r="J36">
        <f t="shared" si="2"/>
        <v>1.8929354087137636E-2</v>
      </c>
      <c r="K36">
        <f t="shared" si="3"/>
        <v>94.237403260365653</v>
      </c>
      <c r="L36">
        <f t="shared" si="4"/>
        <v>355.54245283018867</v>
      </c>
      <c r="M36">
        <f t="shared" si="5"/>
        <v>27.69833525440124</v>
      </c>
      <c r="N36">
        <f t="shared" si="6"/>
        <v>5442.722877489844</v>
      </c>
      <c r="O36" t="e">
        <f t="shared" si="7"/>
        <v>#DIV/0!</v>
      </c>
      <c r="P36" t="e">
        <f t="shared" si="8"/>
        <v>#DIV/0!</v>
      </c>
      <c r="Q36">
        <f t="shared" si="0"/>
        <v>0</v>
      </c>
      <c r="R36" t="e">
        <f t="shared" si="9"/>
        <v>#DIV/0!</v>
      </c>
      <c r="T36">
        <f t="shared" si="29"/>
        <v>86</v>
      </c>
      <c r="U36">
        <f t="shared" si="10"/>
        <v>0.45773969057115238</v>
      </c>
      <c r="V36">
        <f t="shared" si="11"/>
        <v>2.7018993932484421E-2</v>
      </c>
      <c r="W36">
        <f t="shared" si="12"/>
        <v>88.540477772763211</v>
      </c>
      <c r="X36">
        <f t="shared" si="13"/>
        <v>438.22674418604652</v>
      </c>
      <c r="Y36">
        <f t="shared" si="14"/>
        <v>30.073018911542363</v>
      </c>
      <c r="Z36">
        <f t="shared" si="15"/>
        <v>5909.3482161180746</v>
      </c>
      <c r="AA36">
        <f t="shared" si="30"/>
        <v>1000</v>
      </c>
      <c r="AB36">
        <f t="shared" si="16"/>
        <v>1.2523586756106362</v>
      </c>
      <c r="AC36">
        <f t="shared" si="17"/>
        <v>7.3071529021282071</v>
      </c>
      <c r="AD36">
        <f t="shared" si="18"/>
        <v>4.927437038125082</v>
      </c>
      <c r="AH36">
        <f t="shared" si="31"/>
        <v>94</v>
      </c>
      <c r="AI36">
        <f t="shared" si="19"/>
        <v>0.51085600595506919</v>
      </c>
      <c r="AJ36">
        <f t="shared" si="20"/>
        <v>2.9479120472696359E-2</v>
      </c>
      <c r="AK36">
        <f t="shared" si="21"/>
        <v>115.41068375063446</v>
      </c>
      <c r="AL36">
        <f t="shared" si="22"/>
        <v>400.93085106382978</v>
      </c>
      <c r="AM36">
        <f t="shared" si="23"/>
        <v>26.838895727440359</v>
      </c>
      <c r="AN36">
        <f t="shared" si="24"/>
        <v>5273.8430104420304</v>
      </c>
      <c r="AO36">
        <f t="shared" si="32"/>
        <v>800</v>
      </c>
      <c r="AP36">
        <f t="shared" si="25"/>
        <v>1.5058660884366122</v>
      </c>
      <c r="AQ36">
        <f t="shared" si="26"/>
        <v>10.356771952508515</v>
      </c>
      <c r="AR36">
        <f t="shared" si="27"/>
        <v>6.7322540927871719</v>
      </c>
    </row>
    <row r="37" spans="1:44">
      <c r="A37" s="8">
        <f t="shared" si="33"/>
        <v>79.083699894797604</v>
      </c>
      <c r="B37">
        <f t="shared" si="35"/>
        <v>4.6000000000000014</v>
      </c>
      <c r="C37">
        <f t="shared" si="34"/>
        <v>31.911698805632831</v>
      </c>
      <c r="D37" s="11"/>
      <c r="H37">
        <f t="shared" si="28"/>
        <v>108</v>
      </c>
      <c r="I37">
        <f t="shared" si="1"/>
        <v>0.19349809964930517</v>
      </c>
      <c r="J37">
        <f t="shared" si="2"/>
        <v>1.8790360050178648E-2</v>
      </c>
      <c r="K37">
        <f t="shared" si="3"/>
        <v>97.108757575574074</v>
      </c>
      <c r="L37">
        <f t="shared" si="4"/>
        <v>348.95833333333331</v>
      </c>
      <c r="M37">
        <f t="shared" si="5"/>
        <v>27.199754181837999</v>
      </c>
      <c r="N37">
        <f t="shared" si="6"/>
        <v>5344.7516967311667</v>
      </c>
      <c r="O37" t="e">
        <f t="shared" si="7"/>
        <v>#DIV/0!</v>
      </c>
      <c r="P37" t="e">
        <f t="shared" si="8"/>
        <v>#DIV/0!</v>
      </c>
      <c r="Q37">
        <f t="shared" si="0"/>
        <v>0</v>
      </c>
      <c r="R37" t="e">
        <f t="shared" si="9"/>
        <v>#DIV/0!</v>
      </c>
      <c r="T37">
        <f t="shared" si="29"/>
        <v>88</v>
      </c>
      <c r="U37">
        <f t="shared" si="10"/>
        <v>0.43716977679032065</v>
      </c>
      <c r="V37">
        <f t="shared" si="11"/>
        <v>2.6138759112725951E-2</v>
      </c>
      <c r="W37">
        <f t="shared" si="12"/>
        <v>89.686297522562484</v>
      </c>
      <c r="X37">
        <f t="shared" si="13"/>
        <v>428.26704545454544</v>
      </c>
      <c r="Y37">
        <f t="shared" si="14"/>
        <v>29.795105818014502</v>
      </c>
      <c r="Z37">
        <f t="shared" si="15"/>
        <v>5854.7382932398496</v>
      </c>
      <c r="AA37">
        <f t="shared" si="30"/>
        <v>1000</v>
      </c>
      <c r="AB37">
        <f t="shared" si="16"/>
        <v>1.2740290839979191</v>
      </c>
      <c r="AC37">
        <f t="shared" si="17"/>
        <v>7.141081245261657</v>
      </c>
      <c r="AD37">
        <f t="shared" si="18"/>
        <v>5.0420285971512451</v>
      </c>
      <c r="AH37">
        <f t="shared" si="31"/>
        <v>96</v>
      </c>
      <c r="AI37">
        <f t="shared" si="19"/>
        <v>0.48979206473730375</v>
      </c>
      <c r="AJ37">
        <f t="shared" si="20"/>
        <v>2.8471242469943474E-2</v>
      </c>
      <c r="AK37">
        <f t="shared" si="21"/>
        <v>116.25848812072449</v>
      </c>
      <c r="AL37">
        <f t="shared" si="22"/>
        <v>392.578125</v>
      </c>
      <c r="AM37">
        <f t="shared" si="23"/>
        <v>26.526685140410446</v>
      </c>
      <c r="AN37">
        <f t="shared" si="24"/>
        <v>5212.4936300906529</v>
      </c>
      <c r="AO37">
        <f t="shared" si="32"/>
        <v>800</v>
      </c>
      <c r="AP37">
        <f t="shared" si="25"/>
        <v>1.5424034818969814</v>
      </c>
      <c r="AQ37">
        <f t="shared" si="26"/>
        <v>10.141005870164589</v>
      </c>
      <c r="AR37">
        <f t="shared" si="27"/>
        <v>6.8754935415698792</v>
      </c>
    </row>
    <row r="38" spans="1:44">
      <c r="A38" s="8">
        <f t="shared" si="33"/>
        <v>80.784619214413709</v>
      </c>
      <c r="B38">
        <f t="shared" si="35"/>
        <v>4.8000000000000016</v>
      </c>
      <c r="C38">
        <f t="shared" si="34"/>
        <v>32.663953799856245</v>
      </c>
      <c r="D38" s="11"/>
      <c r="H38">
        <f t="shared" si="28"/>
        <v>110</v>
      </c>
      <c r="I38">
        <f t="shared" si="1"/>
        <v>0.18652577143053681</v>
      </c>
      <c r="J38">
        <f t="shared" si="2"/>
        <v>1.8663660325587802E-2</v>
      </c>
      <c r="K38">
        <f t="shared" si="3"/>
        <v>100.05941904139637</v>
      </c>
      <c r="L38">
        <f t="shared" si="4"/>
        <v>342.61363636363637</v>
      </c>
      <c r="M38">
        <f t="shared" si="5"/>
        <v>26.680963905446397</v>
      </c>
      <c r="N38">
        <f t="shared" si="6"/>
        <v>5242.8094074202172</v>
      </c>
      <c r="O38" t="e">
        <f t="shared" si="7"/>
        <v>#DIV/0!</v>
      </c>
      <c r="P38" t="e">
        <f t="shared" si="8"/>
        <v>#DIV/0!</v>
      </c>
      <c r="Q38">
        <f t="shared" si="0"/>
        <v>0</v>
      </c>
      <c r="R38" t="e">
        <f t="shared" si="9"/>
        <v>#DIV/0!</v>
      </c>
      <c r="T38">
        <f t="shared" si="29"/>
        <v>90</v>
      </c>
      <c r="U38">
        <f t="shared" si="10"/>
        <v>0.41795589524249915</v>
      </c>
      <c r="V38">
        <f t="shared" si="11"/>
        <v>2.5353103850113502E-2</v>
      </c>
      <c r="W38">
        <f t="shared" si="12"/>
        <v>90.989638399777419</v>
      </c>
      <c r="X38">
        <f t="shared" si="13"/>
        <v>418.75</v>
      </c>
      <c r="Y38">
        <f t="shared" si="14"/>
        <v>29.498432544020034</v>
      </c>
      <c r="Z38">
        <f t="shared" si="15"/>
        <v>5796.4419948999366</v>
      </c>
      <c r="AA38">
        <f t="shared" si="30"/>
        <v>1000</v>
      </c>
      <c r="AB38">
        <f t="shared" si="16"/>
        <v>1.2968272030405259</v>
      </c>
      <c r="AC38">
        <f t="shared" si="17"/>
        <v>6.9823905509225082</v>
      </c>
      <c r="AD38">
        <f t="shared" si="18"/>
        <v>5.1566201561774081</v>
      </c>
      <c r="AH38">
        <f t="shared" si="31"/>
        <v>98</v>
      </c>
      <c r="AI38">
        <f t="shared" si="19"/>
        <v>0.47000454691992827</v>
      </c>
      <c r="AJ38">
        <f t="shared" si="20"/>
        <v>2.7563092649221965E-2</v>
      </c>
      <c r="AK38">
        <f t="shared" si="21"/>
        <v>117.28862126909475</v>
      </c>
      <c r="AL38">
        <f t="shared" si="22"/>
        <v>384.56632653061223</v>
      </c>
      <c r="AM38">
        <f t="shared" si="23"/>
        <v>26.193215115628714</v>
      </c>
      <c r="AN38">
        <f t="shared" si="24"/>
        <v>5146.9667702210427</v>
      </c>
      <c r="AO38">
        <f t="shared" si="32"/>
        <v>800</v>
      </c>
      <c r="AP38">
        <f t="shared" si="25"/>
        <v>1.5803693179540577</v>
      </c>
      <c r="AQ38">
        <f t="shared" si="26"/>
        <v>9.9340465666918423</v>
      </c>
      <c r="AR38">
        <f t="shared" si="27"/>
        <v>7.0187329903525857</v>
      </c>
    </row>
    <row r="39" spans="1:44" ht="15.75" thickBot="1">
      <c r="A39" s="19">
        <f t="shared" si="33"/>
        <v>82.450456725146338</v>
      </c>
      <c r="B39" s="25">
        <f>B38+$B$14</f>
        <v>5.0000000000000018</v>
      </c>
      <c r="C39" s="25">
        <f t="shared" si="34"/>
        <v>33.396749182555425</v>
      </c>
      <c r="D39" s="20"/>
      <c r="H39">
        <f t="shared" si="28"/>
        <v>112</v>
      </c>
      <c r="I39">
        <f t="shared" si="1"/>
        <v>0.17992361561778505</v>
      </c>
      <c r="J39">
        <f t="shared" si="2"/>
        <v>1.8547972744798705E-2</v>
      </c>
      <c r="K39">
        <f t="shared" si="3"/>
        <v>103.08803922771592</v>
      </c>
      <c r="L39">
        <f t="shared" si="4"/>
        <v>336.49553571428572</v>
      </c>
      <c r="M39">
        <f t="shared" si="5"/>
        <v>26.141639606495819</v>
      </c>
      <c r="N39">
        <f t="shared" si="6"/>
        <v>5136.8321826764286</v>
      </c>
      <c r="O39" t="e">
        <f t="shared" si="7"/>
        <v>#DIV/0!</v>
      </c>
      <c r="P39" t="e">
        <f t="shared" si="8"/>
        <v>#DIV/0!</v>
      </c>
      <c r="Q39">
        <f t="shared" si="0"/>
        <v>0</v>
      </c>
      <c r="R39" t="e">
        <f t="shared" si="9"/>
        <v>#DIV/0!</v>
      </c>
      <c r="T39">
        <f t="shared" si="29"/>
        <v>92</v>
      </c>
      <c r="U39">
        <f t="shared" si="10"/>
        <v>0.39998142148679622</v>
      </c>
      <c r="V39">
        <f t="shared" si="11"/>
        <v>2.4650091140007113E-2</v>
      </c>
      <c r="W39">
        <f t="shared" si="12"/>
        <v>92.442135368608007</v>
      </c>
      <c r="X39">
        <f t="shared" si="13"/>
        <v>409.64673913043481</v>
      </c>
      <c r="Y39">
        <f t="shared" si="14"/>
        <v>29.182823546088063</v>
      </c>
      <c r="Z39">
        <f t="shared" si="15"/>
        <v>5734.4248268063047</v>
      </c>
      <c r="AA39">
        <f t="shared" si="30"/>
        <v>1000</v>
      </c>
      <c r="AB39">
        <f t="shared" si="16"/>
        <v>1.3207618554086435</v>
      </c>
      <c r="AC39">
        <f t="shared" si="17"/>
        <v>6.8305994519894107</v>
      </c>
      <c r="AD39">
        <f t="shared" si="18"/>
        <v>5.2712117152035747</v>
      </c>
      <c r="AH39">
        <f t="shared" si="31"/>
        <v>100</v>
      </c>
      <c r="AI39">
        <f t="shared" si="19"/>
        <v>0.4513923668618991</v>
      </c>
      <c r="AJ39">
        <f t="shared" si="20"/>
        <v>2.6743060330772388E-2</v>
      </c>
      <c r="AK39">
        <f t="shared" si="21"/>
        <v>118.49141586815655</v>
      </c>
      <c r="AL39">
        <f t="shared" si="22"/>
        <v>376.875</v>
      </c>
      <c r="AM39">
        <f t="shared" si="23"/>
        <v>25.838358413184345</v>
      </c>
      <c r="AN39">
        <f t="shared" si="24"/>
        <v>5077.2374281907241</v>
      </c>
      <c r="AO39">
        <f t="shared" si="32"/>
        <v>800</v>
      </c>
      <c r="AP39">
        <f t="shared" si="25"/>
        <v>1.6197564934650588</v>
      </c>
      <c r="AQ39">
        <f t="shared" si="26"/>
        <v>9.7353656353580043</v>
      </c>
      <c r="AR39">
        <f t="shared" si="27"/>
        <v>7.1619724391352921</v>
      </c>
    </row>
    <row r="40" spans="1:44">
      <c r="A40" s="26" t="s">
        <v>48</v>
      </c>
      <c r="B40" s="27"/>
      <c r="H40">
        <f t="shared" si="28"/>
        <v>114</v>
      </c>
      <c r="I40">
        <f t="shared" si="1"/>
        <v>0.17366588444979189</v>
      </c>
      <c r="J40">
        <f t="shared" si="2"/>
        <v>1.8442168465769553E-2</v>
      </c>
      <c r="K40">
        <f t="shared" si="3"/>
        <v>106.19338694066492</v>
      </c>
      <c r="L40">
        <f t="shared" si="4"/>
        <v>330.59210526315792</v>
      </c>
      <c r="M40">
        <f t="shared" si="5"/>
        <v>25.581453888764202</v>
      </c>
      <c r="N40">
        <f t="shared" si="6"/>
        <v>5026.7556891421655</v>
      </c>
      <c r="O40" t="e">
        <f t="shared" si="7"/>
        <v>#DIV/0!</v>
      </c>
      <c r="P40" t="e">
        <f t="shared" si="8"/>
        <v>#DIV/0!</v>
      </c>
      <c r="Q40">
        <f t="shared" si="0"/>
        <v>0</v>
      </c>
      <c r="R40" t="e">
        <f t="shared" si="9"/>
        <v>#DIV/0!</v>
      </c>
      <c r="T40">
        <f t="shared" si="29"/>
        <v>94</v>
      </c>
      <c r="U40">
        <f t="shared" si="10"/>
        <v>0.38314200446630187</v>
      </c>
      <c r="V40">
        <f t="shared" si="11"/>
        <v>2.4019505265891701E-2</v>
      </c>
      <c r="W40">
        <f t="shared" si="12"/>
        <v>94.03630371727202</v>
      </c>
      <c r="X40">
        <f t="shared" si="13"/>
        <v>400.93085106382978</v>
      </c>
      <c r="Y40">
        <f t="shared" si="14"/>
        <v>28.848087450576429</v>
      </c>
      <c r="Z40">
        <f t="shared" si="15"/>
        <v>5668.6491840382687</v>
      </c>
      <c r="AA40">
        <f t="shared" si="30"/>
        <v>1000</v>
      </c>
      <c r="AB40">
        <f t="shared" si="16"/>
        <v>1.3458398540815193</v>
      </c>
      <c r="AC40">
        <f t="shared" si="17"/>
        <v>6.6852675487555926</v>
      </c>
      <c r="AD40">
        <f t="shared" si="18"/>
        <v>5.3858032742297386</v>
      </c>
      <c r="AH40">
        <f t="shared" si="31"/>
        <v>102</v>
      </c>
      <c r="AI40">
        <f t="shared" si="19"/>
        <v>0.43386425111678112</v>
      </c>
      <c r="AJ40">
        <f t="shared" si="20"/>
        <v>2.600108172208445E-2</v>
      </c>
      <c r="AK40">
        <f t="shared" si="21"/>
        <v>119.85814297977672</v>
      </c>
      <c r="AL40">
        <f t="shared" si="22"/>
        <v>369.48529411764707</v>
      </c>
      <c r="AM40">
        <f t="shared" si="23"/>
        <v>25.461969416062775</v>
      </c>
      <c r="AN40">
        <f t="shared" si="24"/>
        <v>5003.276990256335</v>
      </c>
      <c r="AO40">
        <f t="shared" si="32"/>
        <v>800</v>
      </c>
      <c r="AP40">
        <f t="shared" si="25"/>
        <v>1.660556794554287</v>
      </c>
      <c r="AQ40">
        <f t="shared" si="26"/>
        <v>9.5444761130960831</v>
      </c>
      <c r="AR40">
        <f t="shared" si="27"/>
        <v>7.305211887917995</v>
      </c>
    </row>
    <row r="41" spans="1:44" ht="15.75" thickBot="1">
      <c r="A41" s="28"/>
      <c r="B41" s="29"/>
      <c r="H41">
        <f t="shared" si="28"/>
        <v>116</v>
      </c>
      <c r="I41">
        <f t="shared" si="1"/>
        <v>0.16772903049267951</v>
      </c>
      <c r="J41">
        <f t="shared" si="2"/>
        <v>1.8345251371699497E-2</v>
      </c>
      <c r="K41">
        <f t="shared" si="3"/>
        <v>109.37433620055518</v>
      </c>
      <c r="L41">
        <f t="shared" si="4"/>
        <v>324.89224137931035</v>
      </c>
      <c r="M41">
        <f t="shared" si="5"/>
        <v>25.000077000735601</v>
      </c>
      <c r="N41">
        <f t="shared" si="6"/>
        <v>4912.5151306445459</v>
      </c>
      <c r="O41" t="e">
        <f t="shared" si="7"/>
        <v>#DIV/0!</v>
      </c>
      <c r="P41" t="e">
        <f t="shared" si="8"/>
        <v>#DIV/0!</v>
      </c>
      <c r="Q41">
        <f t="shared" si="0"/>
        <v>0</v>
      </c>
      <c r="R41" t="e">
        <f t="shared" si="9"/>
        <v>#DIV/0!</v>
      </c>
      <c r="T41">
        <f t="shared" si="29"/>
        <v>96</v>
      </c>
      <c r="U41">
        <f t="shared" si="10"/>
        <v>0.36734404855297781</v>
      </c>
      <c r="V41">
        <f t="shared" si="11"/>
        <v>2.3452573889343204E-2</v>
      </c>
      <c r="W41">
        <f t="shared" si="12"/>
        <v>95.765430180751565</v>
      </c>
      <c r="X41">
        <f t="shared" si="13"/>
        <v>392.578125</v>
      </c>
      <c r="Y41">
        <f t="shared" si="14"/>
        <v>28.494018702647853</v>
      </c>
      <c r="Z41">
        <f t="shared" si="15"/>
        <v>5599.0746750703029</v>
      </c>
      <c r="AA41">
        <f t="shared" si="30"/>
        <v>1000</v>
      </c>
      <c r="AB41">
        <f t="shared" si="16"/>
        <v>1.3720661210814429</v>
      </c>
      <c r="AC41">
        <f t="shared" si="17"/>
        <v>6.5459911414898517</v>
      </c>
      <c r="AD41">
        <f t="shared" si="18"/>
        <v>5.5003948332559052</v>
      </c>
      <c r="AH41">
        <f t="shared" si="31"/>
        <v>104</v>
      </c>
      <c r="AI41">
        <f t="shared" si="19"/>
        <v>0.41733761729095697</v>
      </c>
      <c r="AJ41">
        <f t="shared" si="20"/>
        <v>2.5328408804199704E-2</v>
      </c>
      <c r="AK41">
        <f t="shared" si="21"/>
        <v>121.38090483485648</v>
      </c>
      <c r="AL41">
        <f t="shared" si="22"/>
        <v>362.37980769230768</v>
      </c>
      <c r="AM41">
        <f t="shared" si="23"/>
        <v>25.06388589717492</v>
      </c>
      <c r="AN41">
        <f t="shared" si="24"/>
        <v>4925.053578794872</v>
      </c>
      <c r="AO41">
        <f t="shared" si="32"/>
        <v>800</v>
      </c>
      <c r="AP41">
        <f t="shared" si="25"/>
        <v>1.7027610934154216</v>
      </c>
      <c r="AQ41">
        <f t="shared" si="26"/>
        <v>9.3609284955365428</v>
      </c>
      <c r="AR41">
        <f t="shared" si="27"/>
        <v>7.4484513367007024</v>
      </c>
    </row>
    <row r="42" spans="1:44">
      <c r="A42" s="8" t="s">
        <v>45</v>
      </c>
      <c r="B42" s="11" t="s">
        <v>47</v>
      </c>
      <c r="H42">
        <f t="shared" si="28"/>
        <v>118</v>
      </c>
      <c r="I42">
        <f t="shared" si="1"/>
        <v>0.16209148479671759</v>
      </c>
      <c r="J42">
        <f t="shared" si="2"/>
        <v>1.825634053213665E-2</v>
      </c>
      <c r="K42">
        <f t="shared" si="3"/>
        <v>112.62985563388675</v>
      </c>
      <c r="L42">
        <f t="shared" si="4"/>
        <v>319.38559322033899</v>
      </c>
      <c r="M42">
        <f t="shared" si="5"/>
        <v>24.397177035201366</v>
      </c>
      <c r="N42">
        <f t="shared" si="6"/>
        <v>4794.0452874170687</v>
      </c>
      <c r="O42" t="e">
        <f t="shared" si="7"/>
        <v>#DIV/0!</v>
      </c>
      <c r="P42" t="e">
        <f t="shared" si="8"/>
        <v>#DIV/0!</v>
      </c>
      <c r="Q42">
        <f t="shared" si="0"/>
        <v>0</v>
      </c>
      <c r="R42" t="e">
        <f t="shared" si="9"/>
        <v>#DIV/0!</v>
      </c>
      <c r="T42">
        <f t="shared" si="29"/>
        <v>98</v>
      </c>
      <c r="U42">
        <f t="shared" si="10"/>
        <v>0.35250341018994619</v>
      </c>
      <c r="V42">
        <f t="shared" si="11"/>
        <v>2.2941739615187355E-2</v>
      </c>
      <c r="W42">
        <f t="shared" si="12"/>
        <v>97.623479455809601</v>
      </c>
      <c r="X42">
        <f t="shared" si="13"/>
        <v>384.56632653061223</v>
      </c>
      <c r="Y42">
        <f t="shared" si="14"/>
        <v>28.120399013330658</v>
      </c>
      <c r="Z42">
        <f t="shared" si="15"/>
        <v>5525.6584061194744</v>
      </c>
      <c r="AA42">
        <f t="shared" si="30"/>
        <v>1000</v>
      </c>
      <c r="AB42">
        <f t="shared" si="16"/>
        <v>1.399443816637012</v>
      </c>
      <c r="AC42">
        <f t="shared" si="17"/>
        <v>6.41239948554108</v>
      </c>
      <c r="AD42">
        <f t="shared" si="18"/>
        <v>5.6149863922820691</v>
      </c>
      <c r="AH42" s="30">
        <f t="shared" si="31"/>
        <v>106</v>
      </c>
      <c r="AI42" s="30">
        <f t="shared" si="19"/>
        <v>0.40173759955669192</v>
      </c>
      <c r="AJ42" s="30">
        <f t="shared" si="20"/>
        <v>2.4717416348550542E-2</v>
      </c>
      <c r="AK42" s="30">
        <f t="shared" si="21"/>
        <v>123.0525416382516</v>
      </c>
      <c r="AL42" s="30">
        <f t="shared" si="22"/>
        <v>355.54245283018867</v>
      </c>
      <c r="AM42" s="30">
        <f t="shared" si="23"/>
        <v>24.643930586345331</v>
      </c>
      <c r="AN42" s="30">
        <f t="shared" si="24"/>
        <v>4842.5323602168573</v>
      </c>
      <c r="AO42" s="30">
        <f t="shared" si="32"/>
        <v>800</v>
      </c>
      <c r="AP42" s="30">
        <f t="shared" si="25"/>
        <v>1.7463595286708875</v>
      </c>
      <c r="AQ42" s="30">
        <f t="shared" si="26"/>
        <v>9.1843072031679291</v>
      </c>
      <c r="AR42" s="30">
        <f t="shared" si="27"/>
        <v>7.591690785483407</v>
      </c>
    </row>
    <row r="43" spans="1:44">
      <c r="A43" s="8">
        <v>185</v>
      </c>
      <c r="B43" s="11">
        <f>AQ166</f>
        <v>13.767886116184252</v>
      </c>
      <c r="H43">
        <f t="shared" si="28"/>
        <v>120</v>
      </c>
      <c r="I43">
        <f t="shared" si="1"/>
        <v>0.15673346071593719</v>
      </c>
      <c r="J43">
        <f t="shared" si="2"/>
        <v>1.8174655228922212E-2</v>
      </c>
      <c r="K43">
        <f t="shared" si="3"/>
        <v>115.95899909249023</v>
      </c>
      <c r="L43">
        <f t="shared" si="4"/>
        <v>314.0625</v>
      </c>
      <c r="M43">
        <f t="shared" si="5"/>
        <v>23.772420108901173</v>
      </c>
      <c r="N43">
        <f t="shared" si="6"/>
        <v>4671.2805513990807</v>
      </c>
      <c r="O43" t="e">
        <f t="shared" si="7"/>
        <v>#DIV/0!</v>
      </c>
      <c r="P43" t="e">
        <f t="shared" si="8"/>
        <v>#DIV/0!</v>
      </c>
      <c r="Q43">
        <f t="shared" si="0"/>
        <v>0</v>
      </c>
      <c r="R43" t="e">
        <f t="shared" si="9"/>
        <v>#DIV/0!</v>
      </c>
      <c r="T43">
        <f t="shared" si="29"/>
        <v>100</v>
      </c>
      <c r="U43">
        <f t="shared" si="10"/>
        <v>0.33854427514642432</v>
      </c>
      <c r="V43">
        <f t="shared" si="11"/>
        <v>2.2480471436059468E-2</v>
      </c>
      <c r="W43">
        <f t="shared" si="12"/>
        <v>99.605013670677508</v>
      </c>
      <c r="X43">
        <f t="shared" si="13"/>
        <v>376.875</v>
      </c>
      <c r="Y43">
        <f t="shared" si="14"/>
        <v>27.726998632932251</v>
      </c>
      <c r="Z43">
        <f t="shared" si="15"/>
        <v>5448.3552313711871</v>
      </c>
      <c r="AA43">
        <f t="shared" si="30"/>
        <v>1000</v>
      </c>
      <c r="AB43">
        <f t="shared" si="16"/>
        <v>1.42797447554157</v>
      </c>
      <c r="AC43">
        <f t="shared" si="17"/>
        <v>6.2841514958302573</v>
      </c>
      <c r="AD43">
        <f t="shared" si="18"/>
        <v>5.7295779513082312</v>
      </c>
      <c r="AH43">
        <f t="shared" si="31"/>
        <v>108</v>
      </c>
      <c r="AI43">
        <f t="shared" si="19"/>
        <v>0.38699619929861034</v>
      </c>
      <c r="AJ43">
        <f t="shared" si="20"/>
        <v>2.4161440200714597E-2</v>
      </c>
      <c r="AK43">
        <f t="shared" si="21"/>
        <v>124.86655034082841</v>
      </c>
      <c r="AL43">
        <f t="shared" si="22"/>
        <v>348.95833333333331</v>
      </c>
      <c r="AM43">
        <f t="shared" si="23"/>
        <v>24.201912563190529</v>
      </c>
      <c r="AN43">
        <f t="shared" si="24"/>
        <v>4755.6758186669385</v>
      </c>
      <c r="AO43">
        <f t="shared" si="32"/>
        <v>800</v>
      </c>
      <c r="AP43">
        <f t="shared" si="25"/>
        <v>1.79134166878593</v>
      </c>
      <c r="AQ43">
        <f t="shared" si="26"/>
        <v>9.0142274401462998</v>
      </c>
      <c r="AR43">
        <f t="shared" si="27"/>
        <v>7.7349302342661153</v>
      </c>
    </row>
    <row r="44" spans="1:44" ht="15.75" thickBot="1">
      <c r="A44" s="8">
        <v>185</v>
      </c>
      <c r="B44" s="11">
        <f>0</f>
        <v>0</v>
      </c>
      <c r="H44">
        <f t="shared" si="28"/>
        <v>122</v>
      </c>
      <c r="I44">
        <f t="shared" si="1"/>
        <v>0.15163678005304324</v>
      </c>
      <c r="J44">
        <f t="shared" si="2"/>
        <v>1.8099502136911139E-2</v>
      </c>
      <c r="K44">
        <f t="shared" si="3"/>
        <v>119.36089734020896</v>
      </c>
      <c r="L44">
        <f t="shared" si="4"/>
        <v>308.9139344262295</v>
      </c>
      <c r="M44">
        <f t="shared" si="5"/>
        <v>23.125470524494506</v>
      </c>
      <c r="N44">
        <f t="shared" si="6"/>
        <v>4544.1549580631709</v>
      </c>
      <c r="O44" t="e">
        <f t="shared" si="7"/>
        <v>#DIV/0!</v>
      </c>
      <c r="P44" t="e">
        <f t="shared" si="8"/>
        <v>#DIV/0!</v>
      </c>
      <c r="Q44">
        <f t="shared" si="0"/>
        <v>0</v>
      </c>
      <c r="R44" t="e">
        <f t="shared" si="9"/>
        <v>#DIV/0!</v>
      </c>
      <c r="T44">
        <f t="shared" si="29"/>
        <v>102</v>
      </c>
      <c r="U44">
        <f t="shared" si="10"/>
        <v>0.32539818833758583</v>
      </c>
      <c r="V44">
        <f t="shared" si="11"/>
        <v>2.2063108468672502E-2</v>
      </c>
      <c r="W44">
        <f t="shared" si="12"/>
        <v>101.70512279765533</v>
      </c>
      <c r="X44">
        <f t="shared" si="13"/>
        <v>369.48529411764707</v>
      </c>
      <c r="Y44">
        <f t="shared" si="14"/>
        <v>27.313577474639153</v>
      </c>
      <c r="Z44">
        <f t="shared" si="15"/>
        <v>5367.1179737665934</v>
      </c>
      <c r="AA44">
        <f t="shared" si="30"/>
        <v>1000</v>
      </c>
      <c r="AB44">
        <f t="shared" si="16"/>
        <v>1.4576581476745025</v>
      </c>
      <c r="AC44">
        <f t="shared" si="17"/>
        <v>6.1609328390492717</v>
      </c>
      <c r="AD44">
        <f t="shared" si="18"/>
        <v>5.8441695103343969</v>
      </c>
      <c r="AH44">
        <f t="shared" si="31"/>
        <v>110</v>
      </c>
      <c r="AI44">
        <f t="shared" si="19"/>
        <v>0.37305154286107362</v>
      </c>
      <c r="AJ44">
        <f t="shared" si="20"/>
        <v>2.3654641302351197E-2</v>
      </c>
      <c r="AK44">
        <f t="shared" si="21"/>
        <v>126.81701365411755</v>
      </c>
      <c r="AL44">
        <f t="shared" si="22"/>
        <v>342.61363636363637</v>
      </c>
      <c r="AM44">
        <f t="shared" si="23"/>
        <v>23.737628498047069</v>
      </c>
      <c r="AN44">
        <f t="shared" si="24"/>
        <v>4664.4439998662492</v>
      </c>
      <c r="AO44">
        <f t="shared" si="32"/>
        <v>800</v>
      </c>
      <c r="AP44">
        <f t="shared" si="25"/>
        <v>1.8376966585268488</v>
      </c>
      <c r="AQ44">
        <f t="shared" si="26"/>
        <v>8.8503323957800042</v>
      </c>
      <c r="AR44">
        <f t="shared" si="27"/>
        <v>7.878169683048819</v>
      </c>
    </row>
    <row r="45" spans="1:44" ht="15" customHeight="1">
      <c r="A45" s="12" t="s">
        <v>49</v>
      </c>
      <c r="B45" s="13"/>
      <c r="C45" s="13"/>
      <c r="D45" s="14"/>
      <c r="H45">
        <f t="shared" si="28"/>
        <v>124</v>
      </c>
      <c r="I45">
        <f t="shared" si="1"/>
        <v>0.14678471867257384</v>
      </c>
      <c r="J45">
        <f t="shared" si="2"/>
        <v>1.8030264320385778E-2</v>
      </c>
      <c r="K45">
        <f t="shared" si="3"/>
        <v>122.83475067050465</v>
      </c>
      <c r="L45">
        <f t="shared" si="4"/>
        <v>303.93145161290323</v>
      </c>
      <c r="M45">
        <f t="shared" si="5"/>
        <v>22.455990916857424</v>
      </c>
      <c r="N45">
        <f t="shared" si="6"/>
        <v>4412.6022151624838</v>
      </c>
      <c r="O45" t="e">
        <f t="shared" si="7"/>
        <v>#DIV/0!</v>
      </c>
      <c r="P45" t="e">
        <f t="shared" si="8"/>
        <v>#DIV/0!</v>
      </c>
      <c r="Q45">
        <f t="shared" si="0"/>
        <v>0</v>
      </c>
      <c r="R45" t="e">
        <f t="shared" si="9"/>
        <v>#DIV/0!</v>
      </c>
      <c r="T45">
        <f t="shared" si="29"/>
        <v>104</v>
      </c>
      <c r="U45">
        <f t="shared" si="10"/>
        <v>0.31300321296821776</v>
      </c>
      <c r="V45">
        <f t="shared" si="11"/>
        <v>2.1684729952362335E-2</v>
      </c>
      <c r="W45">
        <f t="shared" si="12"/>
        <v>103.91936434162513</v>
      </c>
      <c r="X45">
        <f t="shared" si="13"/>
        <v>362.37980769230768</v>
      </c>
      <c r="Y45">
        <f t="shared" si="14"/>
        <v>26.879886108470988</v>
      </c>
      <c r="Z45">
        <f t="shared" si="15"/>
        <v>5281.8976203145494</v>
      </c>
      <c r="AA45">
        <f t="shared" si="30"/>
        <v>1000</v>
      </c>
      <c r="AB45">
        <f t="shared" si="16"/>
        <v>1.4884935399253638</v>
      </c>
      <c r="AC45">
        <f t="shared" si="17"/>
        <v>6.0424533613752471</v>
      </c>
      <c r="AD45">
        <f t="shared" si="18"/>
        <v>5.9587610693605635</v>
      </c>
      <c r="AH45">
        <f t="shared" si="31"/>
        <v>112</v>
      </c>
      <c r="AI45">
        <f t="shared" si="19"/>
        <v>0.35984723123557011</v>
      </c>
      <c r="AJ45">
        <f t="shared" si="20"/>
        <v>2.3191890979194812E-2</v>
      </c>
      <c r="AK45">
        <f t="shared" si="21"/>
        <v>128.89853785765266</v>
      </c>
      <c r="AL45">
        <f t="shared" si="22"/>
        <v>336.49553571428572</v>
      </c>
      <c r="AM45">
        <f t="shared" si="23"/>
        <v>23.250863759942902</v>
      </c>
      <c r="AN45">
        <f t="shared" si="24"/>
        <v>4568.7947288287805</v>
      </c>
      <c r="AO45">
        <f t="shared" si="32"/>
        <v>800</v>
      </c>
      <c r="AP45">
        <f t="shared" si="25"/>
        <v>1.8854133488458642</v>
      </c>
      <c r="AQ45">
        <f t="shared" si="26"/>
        <v>8.6922907458553613</v>
      </c>
      <c r="AR45">
        <f t="shared" si="27"/>
        <v>8.0214091318315255</v>
      </c>
    </row>
    <row r="46" spans="1:44" ht="15.75" thickBot="1">
      <c r="A46" s="16"/>
      <c r="B46" s="17"/>
      <c r="C46" s="17"/>
      <c r="D46" s="18"/>
      <c r="H46">
        <f t="shared" si="28"/>
        <v>126</v>
      </c>
      <c r="I46">
        <f t="shared" si="1"/>
        <v>0.14216186913010176</v>
      </c>
      <c r="J46">
        <f t="shared" si="2"/>
        <v>1.7966391763861528E-2</v>
      </c>
      <c r="K46">
        <f t="shared" si="3"/>
        <v>126.3798223377275</v>
      </c>
      <c r="L46">
        <f t="shared" si="4"/>
        <v>299.10714285714283</v>
      </c>
      <c r="M46">
        <f t="shared" si="5"/>
        <v>21.763642385446332</v>
      </c>
      <c r="N46">
        <f t="shared" si="6"/>
        <v>4276.5557287402044</v>
      </c>
      <c r="O46" t="e">
        <f t="shared" si="7"/>
        <v>#DIV/0!</v>
      </c>
      <c r="P46" t="e">
        <f t="shared" si="8"/>
        <v>#DIV/0!</v>
      </c>
      <c r="Q46">
        <f t="shared" si="0"/>
        <v>0</v>
      </c>
      <c r="R46" t="e">
        <f t="shared" si="9"/>
        <v>#DIV/0!</v>
      </c>
      <c r="T46">
        <f t="shared" si="29"/>
        <v>106</v>
      </c>
      <c r="U46">
        <f t="shared" si="10"/>
        <v>0.30130319966751895</v>
      </c>
      <c r="V46">
        <f t="shared" si="11"/>
        <v>2.1341046696059681E-2</v>
      </c>
      <c r="W46">
        <f t="shared" si="12"/>
        <v>106.24371091781813</v>
      </c>
      <c r="X46">
        <f t="shared" si="13"/>
        <v>355.54245283018867</v>
      </c>
      <c r="Y46">
        <f t="shared" si="14"/>
        <v>26.425666642711278</v>
      </c>
      <c r="Z46">
        <f t="shared" si="15"/>
        <v>5192.6434952927657</v>
      </c>
      <c r="AA46">
        <f t="shared" si="30"/>
        <v>1000</v>
      </c>
      <c r="AB46">
        <f t="shared" si="16"/>
        <v>1.5204781570818264</v>
      </c>
      <c r="AC46">
        <f t="shared" si="17"/>
        <v>5.9284448073870353</v>
      </c>
      <c r="AD46">
        <f t="shared" si="18"/>
        <v>6.0733526283867256</v>
      </c>
      <c r="AH46">
        <f t="shared" si="31"/>
        <v>114</v>
      </c>
      <c r="AI46">
        <f t="shared" si="19"/>
        <v>0.34733176889958378</v>
      </c>
      <c r="AJ46">
        <f t="shared" si="20"/>
        <v>2.2768673863078209E-2</v>
      </c>
      <c r="AK46">
        <f t="shared" si="21"/>
        <v>131.10619817596242</v>
      </c>
      <c r="AL46">
        <f t="shared" si="22"/>
        <v>330.59210526315792</v>
      </c>
      <c r="AM46">
        <f t="shared" si="23"/>
        <v>22.741393407940286</v>
      </c>
      <c r="AN46">
        <f t="shared" si="24"/>
        <v>4468.6838046602661</v>
      </c>
      <c r="AO46">
        <f t="shared" si="32"/>
        <v>800</v>
      </c>
      <c r="AP46">
        <f t="shared" si="25"/>
        <v>1.9344804108758207</v>
      </c>
      <c r="AQ46">
        <f t="shared" si="26"/>
        <v>8.5397944169807065</v>
      </c>
      <c r="AR46">
        <f t="shared" si="27"/>
        <v>8.1646485806142319</v>
      </c>
    </row>
    <row r="47" spans="1:44" ht="15.75" thickBot="1">
      <c r="A47" s="31" t="s">
        <v>50</v>
      </c>
      <c r="B47" s="32"/>
      <c r="C47" s="32"/>
      <c r="D47" s="33"/>
      <c r="H47">
        <f t="shared" si="28"/>
        <v>128</v>
      </c>
      <c r="I47">
        <f t="shared" si="1"/>
        <v>0.13775401820736666</v>
      </c>
      <c r="J47">
        <f t="shared" si="2"/>
        <v>1.790739320318889E-2</v>
      </c>
      <c r="K47">
        <f t="shared" si="3"/>
        <v>129.9954327011512</v>
      </c>
      <c r="L47">
        <f t="shared" si="4"/>
        <v>294.43359375</v>
      </c>
      <c r="M47">
        <f t="shared" si="5"/>
        <v>21.048084614252645</v>
      </c>
      <c r="N47">
        <f t="shared" si="6"/>
        <v>4135.948626700645</v>
      </c>
      <c r="O47" t="e">
        <f t="shared" si="7"/>
        <v>#DIV/0!</v>
      </c>
      <c r="P47" t="e">
        <f t="shared" si="8"/>
        <v>#DIV/0!</v>
      </c>
      <c r="Q47">
        <f t="shared" si="0"/>
        <v>0</v>
      </c>
      <c r="R47" t="e">
        <f t="shared" si="9"/>
        <v>#DIV/0!</v>
      </c>
      <c r="T47">
        <f t="shared" si="29"/>
        <v>108</v>
      </c>
      <c r="U47">
        <f t="shared" si="10"/>
        <v>0.29024714947395774</v>
      </c>
      <c r="V47">
        <f t="shared" si="11"/>
        <v>2.102831011290196E-2</v>
      </c>
      <c r="W47">
        <f t="shared" si="12"/>
        <v>108.67450456109671</v>
      </c>
      <c r="X47">
        <f t="shared" si="13"/>
        <v>348.95833333333331</v>
      </c>
      <c r="Y47">
        <f t="shared" si="14"/>
        <v>25.950653507401551</v>
      </c>
      <c r="Z47">
        <f t="shared" si="15"/>
        <v>5099.3034142044044</v>
      </c>
      <c r="AA47">
        <f t="shared" si="30"/>
        <v>1000</v>
      </c>
      <c r="AB47">
        <f t="shared" si="16"/>
        <v>1.5536084395916516</v>
      </c>
      <c r="AC47">
        <f t="shared" si="17"/>
        <v>5.8186587924354232</v>
      </c>
      <c r="AD47">
        <f t="shared" si="18"/>
        <v>6.1879441874128913</v>
      </c>
      <c r="AH47">
        <f t="shared" si="31"/>
        <v>116</v>
      </c>
      <c r="AI47">
        <f t="shared" si="19"/>
        <v>0.33545806098535902</v>
      </c>
      <c r="AJ47">
        <f t="shared" si="20"/>
        <v>2.2381005486797986E-2</v>
      </c>
      <c r="AK47">
        <f t="shared" si="21"/>
        <v>133.43549069029407</v>
      </c>
      <c r="AL47">
        <f t="shared" si="22"/>
        <v>324.89224137931035</v>
      </c>
      <c r="AM47">
        <f t="shared" si="23"/>
        <v>22.20898307992589</v>
      </c>
      <c r="AN47">
        <f t="shared" si="24"/>
        <v>4364.0651752054373</v>
      </c>
      <c r="AO47">
        <f t="shared" si="32"/>
        <v>800</v>
      </c>
      <c r="AP47">
        <f t="shared" si="25"/>
        <v>1.9848864349359936</v>
      </c>
      <c r="AQ47">
        <f t="shared" si="26"/>
        <v>8.3925565822051755</v>
      </c>
      <c r="AR47">
        <f t="shared" si="27"/>
        <v>8.3078880293969366</v>
      </c>
    </row>
    <row r="48" spans="1:44">
      <c r="A48" s="8" t="s">
        <v>19</v>
      </c>
      <c r="B48" t="s">
        <v>51</v>
      </c>
      <c r="D48" s="11"/>
      <c r="H48">
        <f t="shared" si="28"/>
        <v>130</v>
      </c>
      <c r="I48">
        <f t="shared" si="1"/>
        <v>0.13354803753310626</v>
      </c>
      <c r="J48">
        <f t="shared" si="2"/>
        <v>1.785282906155005E-2</v>
      </c>
      <c r="K48">
        <f t="shared" si="3"/>
        <v>133.68095399473299</v>
      </c>
      <c r="L48">
        <f t="shared" si="4"/>
        <v>289.90384615384613</v>
      </c>
      <c r="M48">
        <f t="shared" si="5"/>
        <v>20.308975980684707</v>
      </c>
      <c r="N48">
        <f t="shared" si="6"/>
        <v>3990.7137802045449</v>
      </c>
      <c r="O48" t="e">
        <f t="shared" si="7"/>
        <v>#DIV/0!</v>
      </c>
      <c r="P48" t="e">
        <f t="shared" si="8"/>
        <v>#DIV/0!</v>
      </c>
      <c r="Q48">
        <f t="shared" si="0"/>
        <v>0</v>
      </c>
      <c r="R48" t="e">
        <f t="shared" si="9"/>
        <v>#DIV/0!</v>
      </c>
      <c r="T48">
        <f t="shared" si="29"/>
        <v>110</v>
      </c>
      <c r="U48">
        <f t="shared" si="10"/>
        <v>0.2797886571458052</v>
      </c>
      <c r="V48">
        <f t="shared" si="11"/>
        <v>2.074323573257255E-2</v>
      </c>
      <c r="W48">
        <f t="shared" si="12"/>
        <v>111.20841679669685</v>
      </c>
      <c r="X48">
        <f t="shared" si="13"/>
        <v>342.61363636363637</v>
      </c>
      <c r="Y48">
        <f t="shared" si="14"/>
        <v>25.45457415236335</v>
      </c>
      <c r="Z48">
        <f t="shared" si="15"/>
        <v>5001.8238209393985</v>
      </c>
      <c r="AA48">
        <f t="shared" si="30"/>
        <v>1000</v>
      </c>
      <c r="AB48">
        <f t="shared" si="16"/>
        <v>1.58787989646789</v>
      </c>
      <c r="AC48">
        <f t="shared" si="17"/>
        <v>5.7128649962093245</v>
      </c>
      <c r="AD48">
        <f t="shared" si="18"/>
        <v>6.3025357464390552</v>
      </c>
      <c r="AH48">
        <f t="shared" si="31"/>
        <v>118</v>
      </c>
      <c r="AI48">
        <f t="shared" si="19"/>
        <v>0.32418296959343518</v>
      </c>
      <c r="AJ48">
        <f t="shared" si="20"/>
        <v>2.202536212854659E-2</v>
      </c>
      <c r="AK48">
        <f t="shared" si="21"/>
        <v>135.88228990664791</v>
      </c>
      <c r="AL48">
        <f t="shared" si="22"/>
        <v>319.38559322033899</v>
      </c>
      <c r="AM48">
        <f t="shared" si="23"/>
        <v>21.653389791015545</v>
      </c>
      <c r="AN48">
        <f t="shared" si="24"/>
        <v>4254.8910939345551</v>
      </c>
      <c r="AO48">
        <f t="shared" si="32"/>
        <v>800</v>
      </c>
      <c r="AP48">
        <f t="shared" si="25"/>
        <v>2.0366200155965628</v>
      </c>
      <c r="AQ48">
        <f t="shared" si="26"/>
        <v>8.2503098604728855</v>
      </c>
      <c r="AR48">
        <f t="shared" si="27"/>
        <v>8.4511274781796466</v>
      </c>
    </row>
    <row r="49" spans="1:44">
      <c r="A49" s="8">
        <v>82</v>
      </c>
      <c r="B49">
        <v>0</v>
      </c>
      <c r="D49" s="11"/>
      <c r="H49">
        <f t="shared" si="28"/>
        <v>132</v>
      </c>
      <c r="I49">
        <f t="shared" si="1"/>
        <v>0.12953178571565058</v>
      </c>
      <c r="J49">
        <f t="shared" si="2"/>
        <v>1.7802305326768807E-2</v>
      </c>
      <c r="K49">
        <f t="shared" si="3"/>
        <v>137.43580564733819</v>
      </c>
      <c r="L49">
        <f t="shared" si="4"/>
        <v>285.51136363636363</v>
      </c>
      <c r="M49">
        <f t="shared" si="5"/>
        <v>19.545973654551357</v>
      </c>
      <c r="N49">
        <f t="shared" si="6"/>
        <v>3840.7838231193418</v>
      </c>
      <c r="O49" t="e">
        <f t="shared" si="7"/>
        <v>#DIV/0!</v>
      </c>
      <c r="P49" t="e">
        <f t="shared" si="8"/>
        <v>#DIV/0!</v>
      </c>
      <c r="Q49">
        <f t="shared" si="0"/>
        <v>0</v>
      </c>
      <c r="R49" t="e">
        <f t="shared" si="9"/>
        <v>#DIV/0!</v>
      </c>
      <c r="T49">
        <f t="shared" si="29"/>
        <v>112</v>
      </c>
      <c r="U49">
        <f t="shared" si="10"/>
        <v>0.26988542342667754</v>
      </c>
      <c r="V49">
        <f t="shared" si="11"/>
        <v>2.0482938675797081E-2</v>
      </c>
      <c r="W49">
        <f t="shared" si="12"/>
        <v>113.84241365685622</v>
      </c>
      <c r="X49">
        <f t="shared" si="13"/>
        <v>336.49553571428572</v>
      </c>
      <c r="Y49">
        <f t="shared" si="14"/>
        <v>24.937149670432103</v>
      </c>
      <c r="Z49">
        <f t="shared" si="15"/>
        <v>4900.1499102399084</v>
      </c>
      <c r="AA49">
        <f t="shared" si="30"/>
        <v>1000</v>
      </c>
      <c r="AB49">
        <f t="shared" si="16"/>
        <v>1.623287231959875</v>
      </c>
      <c r="AC49">
        <f t="shared" si="17"/>
        <v>5.6108495498484441</v>
      </c>
      <c r="AD49">
        <f t="shared" si="18"/>
        <v>6.4171273054652209</v>
      </c>
      <c r="AH49">
        <f t="shared" si="31"/>
        <v>120</v>
      </c>
      <c r="AI49">
        <f t="shared" si="19"/>
        <v>0.31346692143187438</v>
      </c>
      <c r="AJ49">
        <f t="shared" si="20"/>
        <v>2.1698620915688846E-2</v>
      </c>
      <c r="AK49">
        <f t="shared" si="21"/>
        <v>138.44281123234623</v>
      </c>
      <c r="AL49">
        <f t="shared" si="22"/>
        <v>314.0625</v>
      </c>
      <c r="AM49">
        <f t="shared" si="23"/>
        <v>21.074362652118452</v>
      </c>
      <c r="AN49">
        <f t="shared" si="24"/>
        <v>4141.1122611412757</v>
      </c>
      <c r="AO49">
        <f t="shared" si="32"/>
        <v>800</v>
      </c>
      <c r="AP49">
        <f t="shared" si="25"/>
        <v>2.0896698239354086</v>
      </c>
      <c r="AQ49">
        <f t="shared" si="26"/>
        <v>8.112804696131672</v>
      </c>
      <c r="AR49">
        <f t="shared" si="27"/>
        <v>8.5943669269623513</v>
      </c>
    </row>
    <row r="50" spans="1:44">
      <c r="A50" s="8">
        <v>90</v>
      </c>
      <c r="B50">
        <v>3</v>
      </c>
      <c r="D50" s="11"/>
      <c r="H50">
        <f t="shared" si="28"/>
        <v>134</v>
      </c>
      <c r="I50">
        <f t="shared" si="1"/>
        <v>0.12569402062316193</v>
      </c>
      <c r="J50">
        <f t="shared" si="2"/>
        <v>1.7755468232602638E-2</v>
      </c>
      <c r="K50">
        <f t="shared" si="3"/>
        <v>141.25945008819932</v>
      </c>
      <c r="L50">
        <f t="shared" si="4"/>
        <v>281.25</v>
      </c>
      <c r="M50">
        <f t="shared" si="5"/>
        <v>18.758733688181291</v>
      </c>
      <c r="N50">
        <f t="shared" si="6"/>
        <v>3686.0911697276238</v>
      </c>
      <c r="O50" t="e">
        <f t="shared" si="7"/>
        <v>#DIV/0!</v>
      </c>
      <c r="P50" t="e">
        <f t="shared" si="8"/>
        <v>#DIV/0!</v>
      </c>
      <c r="Q50">
        <f t="shared" si="0"/>
        <v>0</v>
      </c>
      <c r="R50" t="e">
        <f t="shared" si="9"/>
        <v>#DIV/0!</v>
      </c>
      <c r="T50" s="30">
        <f t="shared" si="29"/>
        <v>114</v>
      </c>
      <c r="U50" s="30">
        <f t="shared" si="10"/>
        <v>0.26049882667468788</v>
      </c>
      <c r="V50" s="30">
        <f t="shared" si="11"/>
        <v>2.0244879047981494E-2</v>
      </c>
      <c r="W50" s="30">
        <f t="shared" si="12"/>
        <v>116.57372495537223</v>
      </c>
      <c r="X50" s="30">
        <f t="shared" si="13"/>
        <v>330.59210526315792</v>
      </c>
      <c r="Y50" s="30">
        <f t="shared" si="14"/>
        <v>24.398095355087566</v>
      </c>
      <c r="Z50" s="30">
        <f t="shared" si="15"/>
        <v>4794.2257372747072</v>
      </c>
      <c r="AA50" s="30">
        <f t="shared" si="30"/>
        <v>1000</v>
      </c>
      <c r="AB50" s="30">
        <f t="shared" si="16"/>
        <v>1.6598244649479841</v>
      </c>
      <c r="AC50" s="30">
        <f t="shared" si="17"/>
        <v>5.5124135928335596</v>
      </c>
      <c r="AD50" s="30">
        <f t="shared" si="18"/>
        <v>6.5317188644913866</v>
      </c>
      <c r="AH50">
        <f t="shared" si="31"/>
        <v>122</v>
      </c>
      <c r="AI50">
        <f t="shared" si="19"/>
        <v>0.30327356010608647</v>
      </c>
      <c r="AJ50">
        <f t="shared" si="20"/>
        <v>2.1398008547644558E-2</v>
      </c>
      <c r="AK50">
        <f t="shared" si="21"/>
        <v>141.1135777227625</v>
      </c>
      <c r="AL50">
        <f t="shared" si="22"/>
        <v>308.9139344262295</v>
      </c>
      <c r="AM50">
        <f t="shared" si="23"/>
        <v>20.471643517822972</v>
      </c>
      <c r="AN50">
        <f t="shared" si="24"/>
        <v>4022.6779512522139</v>
      </c>
      <c r="AO50">
        <f t="shared" si="32"/>
        <v>800</v>
      </c>
      <c r="AP50">
        <f t="shared" si="25"/>
        <v>2.1440246681579271</v>
      </c>
      <c r="AQ50">
        <f t="shared" si="26"/>
        <v>7.97980789783443</v>
      </c>
      <c r="AR50">
        <f t="shared" si="27"/>
        <v>8.7376063757450542</v>
      </c>
    </row>
    <row r="51" spans="1:44">
      <c r="A51" s="8">
        <v>100</v>
      </c>
      <c r="B51">
        <v>4</v>
      </c>
      <c r="D51" s="11"/>
      <c r="H51">
        <f t="shared" si="28"/>
        <v>136</v>
      </c>
      <c r="I51">
        <f t="shared" si="1"/>
        <v>0.12202432062659468</v>
      </c>
      <c r="J51">
        <f t="shared" si="2"/>
        <v>1.7711999628407072E-2</v>
      </c>
      <c r="K51">
        <f t="shared" si="3"/>
        <v>145.15138898095051</v>
      </c>
      <c r="L51">
        <f t="shared" si="4"/>
        <v>277.1139705882353</v>
      </c>
      <c r="M51">
        <f t="shared" si="5"/>
        <v>17.946911098590732</v>
      </c>
      <c r="N51">
        <f t="shared" si="6"/>
        <v>3526.5680308730789</v>
      </c>
      <c r="O51" t="e">
        <f t="shared" si="7"/>
        <v>#DIV/0!</v>
      </c>
      <c r="P51" t="e">
        <f t="shared" si="8"/>
        <v>#DIV/0!</v>
      </c>
      <c r="Q51">
        <f t="shared" si="0"/>
        <v>0</v>
      </c>
      <c r="R51" t="e">
        <f t="shared" si="9"/>
        <v>#DIV/0!</v>
      </c>
      <c r="T51">
        <f t="shared" si="29"/>
        <v>116</v>
      </c>
      <c r="U51">
        <f t="shared" si="10"/>
        <v>0.25159354573901926</v>
      </c>
      <c r="V51">
        <f t="shared" si="11"/>
        <v>2.0026815586323868E-2</v>
      </c>
      <c r="W51">
        <f t="shared" si="12"/>
        <v>119.39981723794637</v>
      </c>
      <c r="X51">
        <f t="shared" si="13"/>
        <v>324.89224137931035</v>
      </c>
      <c r="Y51">
        <f t="shared" si="14"/>
        <v>23.837121200398222</v>
      </c>
      <c r="Z51">
        <f t="shared" si="15"/>
        <v>4683.9943158782507</v>
      </c>
      <c r="AA51">
        <f t="shared" si="30"/>
        <v>1000</v>
      </c>
      <c r="AB51">
        <f t="shared" si="16"/>
        <v>1.697485040328623</v>
      </c>
      <c r="AC51">
        <f t="shared" si="17"/>
        <v>5.417371979164014</v>
      </c>
      <c r="AD51">
        <f t="shared" si="18"/>
        <v>6.6463104235175496</v>
      </c>
      <c r="AH51">
        <f t="shared" si="31"/>
        <v>124</v>
      </c>
      <c r="AI51">
        <f t="shared" si="19"/>
        <v>0.29356943734514768</v>
      </c>
      <c r="AJ51">
        <f t="shared" si="20"/>
        <v>2.11210572815431E-2</v>
      </c>
      <c r="AK51">
        <f t="shared" si="21"/>
        <v>143.89139055174337</v>
      </c>
      <c r="AL51">
        <f t="shared" si="22"/>
        <v>303.93145161290323</v>
      </c>
      <c r="AM51">
        <f t="shared" si="23"/>
        <v>19.844967571583823</v>
      </c>
      <c r="AN51">
        <f t="shared" si="24"/>
        <v>3899.5361278162213</v>
      </c>
      <c r="AO51">
        <f t="shared" si="32"/>
        <v>800</v>
      </c>
      <c r="AP51">
        <f t="shared" si="25"/>
        <v>2.1996735437489967</v>
      </c>
      <c r="AQ51">
        <f t="shared" si="26"/>
        <v>7.8511013188371006</v>
      </c>
      <c r="AR51">
        <f t="shared" si="27"/>
        <v>8.8808458245277624</v>
      </c>
    </row>
    <row r="52" spans="1:44">
      <c r="A52" s="8">
        <v>105</v>
      </c>
      <c r="B52">
        <v>4</v>
      </c>
      <c r="D52" s="11"/>
      <c r="H52">
        <f t="shared" si="28"/>
        <v>138</v>
      </c>
      <c r="I52">
        <f t="shared" si="1"/>
        <v>0.11851301377386554</v>
      </c>
      <c r="J52">
        <f t="shared" si="2"/>
        <v>1.7671612939589104E-2</v>
      </c>
      <c r="K52">
        <f t="shared" si="3"/>
        <v>149.11115983691272</v>
      </c>
      <c r="L52">
        <f t="shared" si="4"/>
        <v>273.0978260869565</v>
      </c>
      <c r="M52">
        <f t="shared" si="5"/>
        <v>17.110159942506041</v>
      </c>
      <c r="N52">
        <f t="shared" si="6"/>
        <v>3362.1464287024369</v>
      </c>
      <c r="O52" t="e">
        <f t="shared" si="7"/>
        <v>#DIV/0!</v>
      </c>
      <c r="P52" t="e">
        <f t="shared" si="8"/>
        <v>#DIV/0!</v>
      </c>
      <c r="Q52">
        <f t="shared" si="0"/>
        <v>0</v>
      </c>
      <c r="R52" t="e">
        <f t="shared" si="9"/>
        <v>#DIV/0!</v>
      </c>
      <c r="T52">
        <f t="shared" si="29"/>
        <v>118</v>
      </c>
      <c r="U52">
        <f t="shared" si="10"/>
        <v>0.24313722719507636</v>
      </c>
      <c r="V52">
        <f t="shared" si="11"/>
        <v>1.9826766197307458E-2</v>
      </c>
      <c r="W52">
        <f t="shared" si="12"/>
        <v>122.31836991420391</v>
      </c>
      <c r="X52">
        <f t="shared" si="13"/>
        <v>319.38559322033899</v>
      </c>
      <c r="Y52">
        <f t="shared" si="14"/>
        <v>23.253932350123939</v>
      </c>
      <c r="Z52">
        <f t="shared" si="15"/>
        <v>4569.3977067993537</v>
      </c>
      <c r="AA52">
        <f t="shared" si="30"/>
        <v>1000</v>
      </c>
      <c r="AB52">
        <f t="shared" si="16"/>
        <v>1.7362619319314316</v>
      </c>
      <c r="AC52">
        <f t="shared" si="17"/>
        <v>5.325552115110388</v>
      </c>
      <c r="AD52">
        <f t="shared" si="18"/>
        <v>6.7609019825437153</v>
      </c>
      <c r="AH52">
        <f t="shared" si="31"/>
        <v>126</v>
      </c>
      <c r="AI52">
        <f t="shared" si="19"/>
        <v>0.28432373826020352</v>
      </c>
      <c r="AJ52">
        <f t="shared" si="20"/>
        <v>2.0865567055446111E-2</v>
      </c>
      <c r="AK52">
        <f t="shared" si="21"/>
        <v>146.77330273668989</v>
      </c>
      <c r="AL52">
        <f t="shared" si="22"/>
        <v>299.10714285714283</v>
      </c>
      <c r="AM52">
        <f t="shared" si="23"/>
        <v>19.19406385517707</v>
      </c>
      <c r="AN52">
        <f t="shared" si="24"/>
        <v>3771.6335475422943</v>
      </c>
      <c r="AO52">
        <f t="shared" si="32"/>
        <v>800</v>
      </c>
      <c r="AP52">
        <f t="shared" si="25"/>
        <v>2.2566056742953227</v>
      </c>
      <c r="AQ52">
        <f t="shared" si="26"/>
        <v>7.726480662982544</v>
      </c>
      <c r="AR52">
        <f t="shared" si="27"/>
        <v>9.0240852733104688</v>
      </c>
    </row>
    <row r="53" spans="1:44">
      <c r="A53" s="8">
        <v>110</v>
      </c>
      <c r="B53">
        <v>3</v>
      </c>
      <c r="D53" s="11"/>
      <c r="H53">
        <f t="shared" si="28"/>
        <v>140</v>
      </c>
      <c r="I53">
        <f t="shared" si="1"/>
        <v>0.11515111399538243</v>
      </c>
      <c r="J53">
        <f t="shared" si="2"/>
        <v>1.763404963626955E-2</v>
      </c>
      <c r="K53">
        <f t="shared" si="3"/>
        <v>153.13833296460058</v>
      </c>
      <c r="L53">
        <f t="shared" si="4"/>
        <v>269.19642857142856</v>
      </c>
      <c r="M53">
        <f t="shared" si="5"/>
        <v>16.248133384955917</v>
      </c>
      <c r="N53">
        <f t="shared" si="6"/>
        <v>3192.7582101438379</v>
      </c>
      <c r="O53" t="e">
        <f t="shared" si="7"/>
        <v>#DIV/0!</v>
      </c>
      <c r="P53" t="e">
        <f t="shared" si="8"/>
        <v>#DIV/0!</v>
      </c>
      <c r="Q53">
        <f t="shared" si="0"/>
        <v>0</v>
      </c>
      <c r="R53" t="e">
        <f t="shared" si="9"/>
        <v>#DIV/0!</v>
      </c>
      <c r="T53">
        <f t="shared" si="29"/>
        <v>120</v>
      </c>
      <c r="U53">
        <f t="shared" si="10"/>
        <v>0.23510019107390578</v>
      </c>
      <c r="V53">
        <f t="shared" si="11"/>
        <v>1.9642974265074976E-2</v>
      </c>
      <c r="W53">
        <f t="shared" si="12"/>
        <v>125.32725415076357</v>
      </c>
      <c r="X53">
        <f t="shared" si="13"/>
        <v>314.0625</v>
      </c>
      <c r="Y53">
        <f t="shared" si="14"/>
        <v>22.648229501908371</v>
      </c>
      <c r="Z53">
        <f t="shared" si="15"/>
        <v>4450.3770971249951</v>
      </c>
      <c r="AA53">
        <f t="shared" si="30"/>
        <v>1000</v>
      </c>
      <c r="AB53">
        <f t="shared" si="16"/>
        <v>1.7761477367500695</v>
      </c>
      <c r="AC53">
        <f t="shared" si="17"/>
        <v>5.2367929131918816</v>
      </c>
      <c r="AD53">
        <f t="shared" si="18"/>
        <v>6.875493541569881</v>
      </c>
      <c r="AH53">
        <f t="shared" si="31"/>
        <v>128</v>
      </c>
      <c r="AI53">
        <f t="shared" si="19"/>
        <v>0.27550803641473331</v>
      </c>
      <c r="AJ53">
        <f t="shared" si="20"/>
        <v>2.0629572812755553E-2</v>
      </c>
      <c r="AK53">
        <f t="shared" si="21"/>
        <v>149.75659571469652</v>
      </c>
      <c r="AL53">
        <f t="shared" si="22"/>
        <v>294.43359375</v>
      </c>
      <c r="AM53">
        <f t="shared" si="23"/>
        <v>18.518655748518846</v>
      </c>
      <c r="AN53">
        <f t="shared" si="24"/>
        <v>3638.9158545839532</v>
      </c>
      <c r="AO53">
        <f t="shared" si="32"/>
        <v>800</v>
      </c>
      <c r="AP53">
        <f t="shared" si="25"/>
        <v>2.3148105440642426</v>
      </c>
      <c r="AQ53">
        <f t="shared" si="26"/>
        <v>7.6057544026234414</v>
      </c>
      <c r="AR53">
        <f t="shared" si="27"/>
        <v>9.1673247220931717</v>
      </c>
    </row>
    <row r="54" spans="1:44" ht="15.75" thickBot="1">
      <c r="A54" s="8">
        <v>120</v>
      </c>
      <c r="B54">
        <v>0</v>
      </c>
      <c r="D54" s="11"/>
      <c r="H54" s="30">
        <f t="shared" si="28"/>
        <v>142</v>
      </c>
      <c r="I54" s="30">
        <f t="shared" si="1"/>
        <v>0.11193026355432927</v>
      </c>
      <c r="J54" s="30">
        <f t="shared" si="2"/>
        <v>1.7599076140096041E-2</v>
      </c>
      <c r="K54" s="30">
        <f t="shared" si="3"/>
        <v>157.23250871783853</v>
      </c>
      <c r="L54" s="30">
        <f t="shared" si="4"/>
        <v>265.40492957746477</v>
      </c>
      <c r="M54" s="30">
        <f t="shared" si="5"/>
        <v>15.360483762066925</v>
      </c>
      <c r="N54" s="30">
        <f t="shared" si="6"/>
        <v>3018.3350592461506</v>
      </c>
      <c r="O54" s="30" t="e">
        <f t="shared" si="7"/>
        <v>#DIV/0!</v>
      </c>
      <c r="P54" s="30" t="e">
        <f t="shared" si="8"/>
        <v>#DIV/0!</v>
      </c>
      <c r="Q54" s="30">
        <f t="shared" si="0"/>
        <v>0</v>
      </c>
      <c r="R54" s="30" t="e">
        <f t="shared" si="9"/>
        <v>#DIV/0!</v>
      </c>
      <c r="T54">
        <f t="shared" si="29"/>
        <v>122</v>
      </c>
      <c r="U54">
        <f t="shared" si="10"/>
        <v>0.22745517007956484</v>
      </c>
      <c r="V54">
        <f t="shared" si="11"/>
        <v>1.9473879808050064E-2</v>
      </c>
      <c r="W54">
        <f t="shared" si="12"/>
        <v>128.42451416627293</v>
      </c>
      <c r="X54">
        <f t="shared" si="13"/>
        <v>308.9139344262295</v>
      </c>
      <c r="Y54">
        <f t="shared" si="14"/>
        <v>22.019709271714703</v>
      </c>
      <c r="Z54">
        <f t="shared" si="15"/>
        <v>4326.8728718919392</v>
      </c>
      <c r="AA54">
        <f t="shared" si="30"/>
        <v>1000</v>
      </c>
      <c r="AB54">
        <f t="shared" si="16"/>
        <v>1.8171347604700689</v>
      </c>
      <c r="AC54">
        <f t="shared" si="17"/>
        <v>5.1509438490411945</v>
      </c>
      <c r="AD54">
        <f t="shared" si="18"/>
        <v>6.990085100596044</v>
      </c>
      <c r="AH54">
        <f t="shared" si="31"/>
        <v>130</v>
      </c>
      <c r="AI54">
        <f t="shared" si="19"/>
        <v>0.26709607506621252</v>
      </c>
      <c r="AJ54">
        <f t="shared" si="20"/>
        <v>2.0411316246200201E-2</v>
      </c>
      <c r="AK54">
        <f t="shared" si="21"/>
        <v>152.83875842159259</v>
      </c>
      <c r="AL54">
        <f t="shared" si="22"/>
        <v>289.90384615384613</v>
      </c>
      <c r="AM54">
        <f t="shared" si="23"/>
        <v>17.818461405192959</v>
      </c>
      <c r="AN54">
        <f t="shared" si="24"/>
        <v>3501.3276661204163</v>
      </c>
      <c r="AO54">
        <f t="shared" si="32"/>
        <v>800</v>
      </c>
      <c r="AP54">
        <f t="shared" si="25"/>
        <v>2.3742779233583584</v>
      </c>
      <c r="AQ54">
        <f t="shared" si="26"/>
        <v>7.4887427964292348</v>
      </c>
      <c r="AR54">
        <f t="shared" si="27"/>
        <v>9.31056417087588</v>
      </c>
    </row>
    <row r="55" spans="1:44" ht="15.75" thickBot="1">
      <c r="A55" s="31" t="s">
        <v>52</v>
      </c>
      <c r="B55" s="33"/>
      <c r="D55" s="11"/>
      <c r="H55">
        <f t="shared" si="28"/>
        <v>144</v>
      </c>
      <c r="I55">
        <f t="shared" si="1"/>
        <v>0.10884268105273416</v>
      </c>
      <c r="J55">
        <f t="shared" si="2"/>
        <v>1.7566481109626841E-2</v>
      </c>
      <c r="K55">
        <f t="shared" si="3"/>
        <v>161.39331500954023</v>
      </c>
      <c r="L55">
        <f t="shared" si="4"/>
        <v>261.71875</v>
      </c>
      <c r="M55">
        <f t="shared" si="5"/>
        <v>14.446862638626207</v>
      </c>
      <c r="N55">
        <f t="shared" si="6"/>
        <v>2838.8085084900499</v>
      </c>
      <c r="O55" t="e">
        <f t="shared" si="7"/>
        <v>#DIV/0!</v>
      </c>
      <c r="P55" t="e">
        <f t="shared" si="8"/>
        <v>#DIV/0!</v>
      </c>
      <c r="Q55">
        <f t="shared" si="0"/>
        <v>0</v>
      </c>
      <c r="R55" t="e">
        <f t="shared" si="9"/>
        <v>#DIV/0!</v>
      </c>
      <c r="T55">
        <f t="shared" si="29"/>
        <v>124</v>
      </c>
      <c r="U55">
        <f t="shared" si="10"/>
        <v>0.22017707800886074</v>
      </c>
      <c r="V55">
        <f t="shared" si="11"/>
        <v>1.9318094720867995E-2</v>
      </c>
      <c r="W55">
        <f t="shared" si="12"/>
        <v>131.60835062102078</v>
      </c>
      <c r="X55">
        <f t="shared" si="13"/>
        <v>303.93145161290323</v>
      </c>
      <c r="Y55">
        <f t="shared" si="14"/>
        <v>21.368064522993425</v>
      </c>
      <c r="Z55">
        <f t="shared" si="15"/>
        <v>4198.8246787682083</v>
      </c>
      <c r="AA55">
        <f t="shared" si="30"/>
        <v>1000</v>
      </c>
      <c r="AB55">
        <f t="shared" si="16"/>
        <v>1.8592150944429027</v>
      </c>
      <c r="AC55">
        <f t="shared" si="17"/>
        <v>5.0678641095405297</v>
      </c>
      <c r="AD55">
        <f t="shared" si="18"/>
        <v>7.1046766596222088</v>
      </c>
      <c r="AH55">
        <f t="shared" si="31"/>
        <v>132</v>
      </c>
      <c r="AI55">
        <f t="shared" si="19"/>
        <v>0.25906357143130115</v>
      </c>
      <c r="AJ55">
        <f t="shared" si="20"/>
        <v>2.0209221307075233E-2</v>
      </c>
      <c r="AK55">
        <f t="shared" si="21"/>
        <v>156.01746857283902</v>
      </c>
      <c r="AL55">
        <f t="shared" si="22"/>
        <v>285.51136363636363</v>
      </c>
      <c r="AM55">
        <f t="shared" si="23"/>
        <v>17.093194148385248</v>
      </c>
      <c r="AN55">
        <f t="shared" si="24"/>
        <v>3358.8126501577012</v>
      </c>
      <c r="AO55">
        <f t="shared" si="32"/>
        <v>800</v>
      </c>
      <c r="AP55">
        <f t="shared" si="25"/>
        <v>2.434997887589696</v>
      </c>
      <c r="AQ55">
        <f t="shared" si="26"/>
        <v>7.3752769964833362</v>
      </c>
      <c r="AR55">
        <f t="shared" si="27"/>
        <v>9.4538036196585828</v>
      </c>
    </row>
    <row r="56" spans="1:44">
      <c r="A56" s="8" t="s">
        <v>19</v>
      </c>
      <c r="B56" t="s">
        <v>51</v>
      </c>
      <c r="C56" s="34" t="s">
        <v>53</v>
      </c>
      <c r="D56" s="35"/>
      <c r="H56">
        <f t="shared" si="28"/>
        <v>146</v>
      </c>
      <c r="I56">
        <f t="shared" si="1"/>
        <v>0.10588111438869842</v>
      </c>
      <c r="J56">
        <f t="shared" si="2"/>
        <v>1.753607305349764E-2</v>
      </c>
      <c r="K56">
        <f t="shared" si="3"/>
        <v>165.62040506224037</v>
      </c>
      <c r="L56">
        <f t="shared" si="4"/>
        <v>258.13356164383561</v>
      </c>
      <c r="M56">
        <f t="shared" si="5"/>
        <v>13.506920860912906</v>
      </c>
      <c r="N56">
        <f t="shared" si="6"/>
        <v>2654.1099491693863</v>
      </c>
      <c r="O56" t="e">
        <f t="shared" si="7"/>
        <v>#DIV/0!</v>
      </c>
      <c r="P56" t="e">
        <f t="shared" si="8"/>
        <v>#DIV/0!</v>
      </c>
      <c r="Q56">
        <f t="shared" si="0"/>
        <v>0</v>
      </c>
      <c r="R56" t="e">
        <f t="shared" si="9"/>
        <v>#DIV/0!</v>
      </c>
      <c r="T56">
        <f t="shared" si="29"/>
        <v>126</v>
      </c>
      <c r="U56">
        <f t="shared" si="10"/>
        <v>0.21324280369515261</v>
      </c>
      <c r="V56">
        <f t="shared" si="11"/>
        <v>1.917438146868844E-2</v>
      </c>
      <c r="W56">
        <f t="shared" si="12"/>
        <v>134.87710583729518</v>
      </c>
      <c r="X56">
        <f t="shared" si="13"/>
        <v>299.10714285714283</v>
      </c>
      <c r="Y56">
        <f t="shared" si="14"/>
        <v>20.692984664500806</v>
      </c>
      <c r="Z56">
        <f t="shared" si="15"/>
        <v>4066.1714865744084</v>
      </c>
      <c r="AA56">
        <f t="shared" si="30"/>
        <v>1000</v>
      </c>
      <c r="AB56">
        <f t="shared" si="16"/>
        <v>1.9023806843866928</v>
      </c>
      <c r="AC56">
        <f t="shared" si="17"/>
        <v>4.987421822087506</v>
      </c>
      <c r="AD56">
        <f t="shared" si="18"/>
        <v>7.2192682186483736</v>
      </c>
      <c r="AH56">
        <f t="shared" si="31"/>
        <v>134</v>
      </c>
      <c r="AI56">
        <f t="shared" si="19"/>
        <v>0.25138804124632386</v>
      </c>
      <c r="AJ56">
        <f t="shared" si="20"/>
        <v>2.0021872930410543E-2</v>
      </c>
      <c r="AK56">
        <f t="shared" si="21"/>
        <v>159.29057588536608</v>
      </c>
      <c r="AL56">
        <f t="shared" si="22"/>
        <v>281.25</v>
      </c>
      <c r="AM56">
        <f t="shared" si="23"/>
        <v>16.342562831360944</v>
      </c>
      <c r="AN56">
        <f t="shared" si="24"/>
        <v>3211.3135963624254</v>
      </c>
      <c r="AO56">
        <f t="shared" si="32"/>
        <v>800</v>
      </c>
      <c r="AP56">
        <f t="shared" si="25"/>
        <v>2.4969608309368017</v>
      </c>
      <c r="AQ56">
        <f t="shared" si="26"/>
        <v>7.2651982353417948</v>
      </c>
      <c r="AR56">
        <f t="shared" si="27"/>
        <v>9.5970430684412893</v>
      </c>
    </row>
    <row r="57" spans="1:44">
      <c r="A57" s="8">
        <f>81</f>
        <v>81</v>
      </c>
      <c r="B57">
        <f>$D$57*A57^2+$D$58*A57+$D$59</f>
        <v>-9.8099999999988086E-2</v>
      </c>
      <c r="C57" s="8" t="s">
        <v>54</v>
      </c>
      <c r="D57" s="11">
        <f>-0.0113</f>
        <v>-1.1299999999999999E-2</v>
      </c>
      <c r="H57">
        <f t="shared" si="28"/>
        <v>148</v>
      </c>
      <c r="I57">
        <f t="shared" si="1"/>
        <v>0.10303879813319464</v>
      </c>
      <c r="J57">
        <f t="shared" si="2"/>
        <v>1.7507678227978808E-2</v>
      </c>
      <c r="K57">
        <f t="shared" si="3"/>
        <v>169.91345536995925</v>
      </c>
      <c r="L57">
        <f t="shared" si="4"/>
        <v>254.64527027027026</v>
      </c>
      <c r="M57">
        <f t="shared" si="5"/>
        <v>12.540308605246029</v>
      </c>
      <c r="N57">
        <f t="shared" si="6"/>
        <v>2464.1706409308445</v>
      </c>
      <c r="O57" t="e">
        <f t="shared" si="7"/>
        <v>#DIV/0!</v>
      </c>
      <c r="P57" t="e">
        <f t="shared" si="8"/>
        <v>#DIV/0!</v>
      </c>
      <c r="Q57">
        <f t="shared" si="0"/>
        <v>0</v>
      </c>
      <c r="R57" t="e">
        <f t="shared" si="9"/>
        <v>#DIV/0!</v>
      </c>
      <c r="T57">
        <f t="shared" si="29"/>
        <v>128</v>
      </c>
      <c r="U57">
        <f t="shared" si="10"/>
        <v>0.20663102731104999</v>
      </c>
      <c r="V57">
        <f t="shared" si="11"/>
        <v>1.9041634707174997E-2</v>
      </c>
      <c r="W57">
        <f t="shared" si="12"/>
        <v>138.22925062346172</v>
      </c>
      <c r="X57">
        <f t="shared" si="13"/>
        <v>294.43359375</v>
      </c>
      <c r="Y57">
        <f t="shared" si="14"/>
        <v>19.994155920196899</v>
      </c>
      <c r="Z57">
        <f t="shared" si="15"/>
        <v>3928.8516383186907</v>
      </c>
      <c r="AA57">
        <f t="shared" si="30"/>
        <v>1000</v>
      </c>
      <c r="AB57">
        <f t="shared" si="16"/>
        <v>1.946623391193848</v>
      </c>
      <c r="AC57">
        <f t="shared" si="17"/>
        <v>4.9094933561173884</v>
      </c>
      <c r="AD57">
        <f t="shared" si="18"/>
        <v>7.3338597776745384</v>
      </c>
      <c r="AH57">
        <f t="shared" si="31"/>
        <v>136</v>
      </c>
      <c r="AI57">
        <f t="shared" si="19"/>
        <v>0.24404864125318937</v>
      </c>
      <c r="AJ57">
        <f t="shared" si="20"/>
        <v>1.9847998513628284E-2</v>
      </c>
      <c r="AK57">
        <f t="shared" si="21"/>
        <v>162.65608701371039</v>
      </c>
      <c r="AL57">
        <f t="shared" si="22"/>
        <v>277.1139705882353</v>
      </c>
      <c r="AM57">
        <f t="shared" si="23"/>
        <v>15.566272166135388</v>
      </c>
      <c r="AN57">
        <f t="shared" si="24"/>
        <v>3058.7724806456035</v>
      </c>
      <c r="AO57">
        <f t="shared" si="32"/>
        <v>800</v>
      </c>
      <c r="AP57">
        <f t="shared" si="25"/>
        <v>2.5601574753666738</v>
      </c>
      <c r="AQ57">
        <f t="shared" si="26"/>
        <v>7.1583570848220619</v>
      </c>
      <c r="AR57">
        <f t="shared" si="27"/>
        <v>9.7402825172239957</v>
      </c>
    </row>
    <row r="58" spans="1:44">
      <c r="A58" s="8">
        <f>A57+5</f>
        <v>86</v>
      </c>
      <c r="B58">
        <f t="shared" ref="B58:B64" si="36">$D$57*A58^2+$D$58*A58+$D$59</f>
        <v>1.8924000000000234</v>
      </c>
      <c r="C58" s="8" t="s">
        <v>37</v>
      </c>
      <c r="D58" s="11">
        <f>2.2852</f>
        <v>2.2852000000000001</v>
      </c>
      <c r="H58">
        <f t="shared" si="28"/>
        <v>150</v>
      </c>
      <c r="I58">
        <f t="shared" si="1"/>
        <v>0.1003094148581998</v>
      </c>
      <c r="J58">
        <f t="shared" si="2"/>
        <v>1.7481138781766541E-2</v>
      </c>
      <c r="K58">
        <f t="shared" si="3"/>
        <v>174.27216384901027</v>
      </c>
      <c r="L58">
        <f t="shared" si="4"/>
        <v>251.25</v>
      </c>
      <c r="M58">
        <f t="shared" si="5"/>
        <v>11.546675422648459</v>
      </c>
      <c r="N58">
        <f t="shared" si="6"/>
        <v>2268.9217205504224</v>
      </c>
      <c r="O58" t="e">
        <f t="shared" si="7"/>
        <v>#DIV/0!</v>
      </c>
      <c r="P58" t="e">
        <f t="shared" si="8"/>
        <v>#DIV/0!</v>
      </c>
      <c r="Q58">
        <f t="shared" si="0"/>
        <v>0</v>
      </c>
      <c r="R58" t="e">
        <f t="shared" si="9"/>
        <v>#DIV/0!</v>
      </c>
      <c r="T58">
        <f t="shared" si="29"/>
        <v>130</v>
      </c>
      <c r="U58">
        <f t="shared" si="10"/>
        <v>0.20032205629965938</v>
      </c>
      <c r="V58">
        <f t="shared" si="11"/>
        <v>1.8918865388487614E-2</v>
      </c>
      <c r="W58">
        <f t="shared" si="12"/>
        <v>141.66337250592449</v>
      </c>
      <c r="X58">
        <f t="shared" si="13"/>
        <v>289.90384615384613</v>
      </c>
      <c r="Y58">
        <f t="shared" si="14"/>
        <v>19.271261574229815</v>
      </c>
      <c r="Z58">
        <f t="shared" si="15"/>
        <v>3786.8028993361586</v>
      </c>
      <c r="AA58">
        <f t="shared" si="30"/>
        <v>1000</v>
      </c>
      <c r="AB58">
        <f t="shared" si="16"/>
        <v>1.9919350442978814</v>
      </c>
      <c r="AC58">
        <f t="shared" si="17"/>
        <v>4.8339626891001988</v>
      </c>
      <c r="AD58">
        <f t="shared" si="18"/>
        <v>7.4484513367007033</v>
      </c>
      <c r="AH58">
        <f t="shared" si="31"/>
        <v>138</v>
      </c>
      <c r="AI58">
        <f t="shared" si="19"/>
        <v>0.23702602754773108</v>
      </c>
      <c r="AJ58">
        <f t="shared" si="20"/>
        <v>1.9686451758356406E-2</v>
      </c>
      <c r="AK58">
        <f t="shared" si="21"/>
        <v>166.11215200315542</v>
      </c>
      <c r="AL58">
        <f t="shared" si="22"/>
        <v>273.0978260869565</v>
      </c>
      <c r="AM58">
        <f t="shared" si="23"/>
        <v>14.764023023564551</v>
      </c>
      <c r="AN58">
        <f t="shared" si="24"/>
        <v>2901.1305241304344</v>
      </c>
      <c r="AO58">
        <f t="shared" si="32"/>
        <v>800</v>
      </c>
      <c r="AP58">
        <f t="shared" si="25"/>
        <v>2.6245788757232438</v>
      </c>
      <c r="AQ58">
        <f t="shared" si="26"/>
        <v>7.0546127792449305</v>
      </c>
      <c r="AR58">
        <f t="shared" si="27"/>
        <v>9.8835219660067004</v>
      </c>
    </row>
    <row r="59" spans="1:44" ht="15.75" thickBot="1">
      <c r="A59" s="8">
        <f t="shared" ref="A59:A65" si="37">A58+5</f>
        <v>91</v>
      </c>
      <c r="B59">
        <f t="shared" si="36"/>
        <v>3.3179000000000087</v>
      </c>
      <c r="C59" s="19" t="s">
        <v>55</v>
      </c>
      <c r="D59" s="20">
        <f>-111.06</f>
        <v>-111.06</v>
      </c>
      <c r="H59">
        <f t="shared" si="28"/>
        <v>152</v>
      </c>
      <c r="I59">
        <f t="shared" si="1"/>
        <v>9.7687060003007947E-2</v>
      </c>
      <c r="J59">
        <f t="shared" si="2"/>
        <v>1.7456311116122399E-2</v>
      </c>
      <c r="K59">
        <f t="shared" si="3"/>
        <v>178.69624815799443</v>
      </c>
      <c r="L59">
        <f t="shared" si="4"/>
        <v>247.94407894736841</v>
      </c>
      <c r="M59">
        <f t="shared" si="5"/>
        <v>10.525670279984844</v>
      </c>
      <c r="N59">
        <f t="shared" si="6"/>
        <v>2068.2942100170217</v>
      </c>
      <c r="O59" t="e">
        <f t="shared" si="7"/>
        <v>#DIV/0!</v>
      </c>
      <c r="P59" t="e">
        <f t="shared" si="8"/>
        <v>#DIV/0!</v>
      </c>
      <c r="Q59">
        <f t="shared" si="0"/>
        <v>0</v>
      </c>
      <c r="R59" t="e">
        <f t="shared" si="9"/>
        <v>#DIV/0!</v>
      </c>
      <c r="T59">
        <f t="shared" si="29"/>
        <v>132</v>
      </c>
      <c r="U59">
        <f t="shared" si="10"/>
        <v>0.19429767857347585</v>
      </c>
      <c r="V59">
        <f t="shared" si="11"/>
        <v>1.8805186985229819E-2</v>
      </c>
      <c r="W59">
        <f t="shared" si="12"/>
        <v>145.17816519963023</v>
      </c>
      <c r="X59">
        <f t="shared" si="13"/>
        <v>285.51136363636363</v>
      </c>
      <c r="Y59">
        <f t="shared" si="14"/>
        <v>18.523982193648809</v>
      </c>
      <c r="Z59">
        <f t="shared" si="15"/>
        <v>3639.9625010519908</v>
      </c>
      <c r="AA59">
        <f t="shared" si="30"/>
        <v>1000</v>
      </c>
      <c r="AB59">
        <f t="shared" si="16"/>
        <v>2.0383074880994823</v>
      </c>
      <c r="AC59">
        <f t="shared" si="17"/>
        <v>4.7607208301744368</v>
      </c>
      <c r="AD59">
        <f t="shared" si="18"/>
        <v>7.5630428957268663</v>
      </c>
      <c r="AH59">
        <f t="shared" si="31"/>
        <v>140</v>
      </c>
      <c r="AI59">
        <f t="shared" si="19"/>
        <v>0.23030222799076486</v>
      </c>
      <c r="AJ59">
        <f t="shared" si="20"/>
        <v>1.9536198545078196E-2</v>
      </c>
      <c r="AK59">
        <f t="shared" si="21"/>
        <v>169.65705208776009</v>
      </c>
      <c r="AL59">
        <f t="shared" si="22"/>
        <v>269.19642857142856</v>
      </c>
      <c r="AM59">
        <f t="shared" si="23"/>
        <v>13.935512707713585</v>
      </c>
      <c r="AN59">
        <f t="shared" si="24"/>
        <v>2738.3282470657196</v>
      </c>
      <c r="AO59">
        <f t="shared" si="32"/>
        <v>800</v>
      </c>
      <c r="AP59">
        <f t="shared" si="25"/>
        <v>2.6902164215070741</v>
      </c>
      <c r="AQ59">
        <f t="shared" si="26"/>
        <v>6.9538325966842889</v>
      </c>
      <c r="AR59">
        <f t="shared" si="27"/>
        <v>10.026761414789405</v>
      </c>
    </row>
    <row r="60" spans="1:44">
      <c r="A60" s="8">
        <f t="shared" si="37"/>
        <v>96</v>
      </c>
      <c r="B60">
        <f t="shared" si="36"/>
        <v>4.1784000000000248</v>
      </c>
      <c r="D60" s="11"/>
      <c r="H60">
        <f t="shared" si="28"/>
        <v>154</v>
      </c>
      <c r="I60">
        <f t="shared" si="1"/>
        <v>9.516620991353919E-2</v>
      </c>
      <c r="J60">
        <f t="shared" si="2"/>
        <v>1.7433064432941431E-2</v>
      </c>
      <c r="K60">
        <f t="shared" si="3"/>
        <v>183.18544416951977</v>
      </c>
      <c r="L60">
        <f t="shared" si="4"/>
        <v>244.72402597402598</v>
      </c>
      <c r="M60">
        <f t="shared" si="5"/>
        <v>9.4769415978939566</v>
      </c>
      <c r="N60">
        <f t="shared" si="6"/>
        <v>1862.2190239861625</v>
      </c>
      <c r="O60" t="e">
        <f t="shared" si="7"/>
        <v>#DIV/0!</v>
      </c>
      <c r="P60" t="e">
        <f t="shared" si="8"/>
        <v>#DIV/0!</v>
      </c>
      <c r="Q60">
        <f t="shared" si="0"/>
        <v>0</v>
      </c>
      <c r="R60" t="e">
        <f t="shared" si="9"/>
        <v>#DIV/0!</v>
      </c>
      <c r="T60">
        <f t="shared" si="29"/>
        <v>134</v>
      </c>
      <c r="U60">
        <f t="shared" si="10"/>
        <v>0.18854103093474286</v>
      </c>
      <c r="V60">
        <f t="shared" si="11"/>
        <v>1.8699803523355932E-2</v>
      </c>
      <c r="W60">
        <f t="shared" si="12"/>
        <v>148.77241917035215</v>
      </c>
      <c r="X60">
        <f t="shared" si="13"/>
        <v>281.25</v>
      </c>
      <c r="Y60">
        <f t="shared" si="14"/>
        <v>17.751995831172813</v>
      </c>
      <c r="Z60">
        <f t="shared" si="15"/>
        <v>3488.2671808254577</v>
      </c>
      <c r="AA60">
        <f t="shared" si="30"/>
        <v>1000</v>
      </c>
      <c r="AB60">
        <f t="shared" si="16"/>
        <v>2.0857326219793531</v>
      </c>
      <c r="AC60">
        <f t="shared" si="17"/>
        <v>4.6896652953957148</v>
      </c>
      <c r="AD60">
        <f t="shared" si="18"/>
        <v>7.677634454753032</v>
      </c>
      <c r="AH60">
        <f t="shared" si="31"/>
        <v>142</v>
      </c>
      <c r="AI60">
        <f t="shared" si="19"/>
        <v>0.22386052710865853</v>
      </c>
      <c r="AJ60">
        <f t="shared" si="20"/>
        <v>1.9396304560384159E-2</v>
      </c>
      <c r="AK60">
        <f t="shared" si="21"/>
        <v>173.28918868282202</v>
      </c>
      <c r="AL60">
        <f t="shared" si="22"/>
        <v>265.40492957746477</v>
      </c>
      <c r="AM60">
        <f t="shared" si="23"/>
        <v>13.080435207039271</v>
      </c>
      <c r="AN60">
        <f t="shared" si="24"/>
        <v>2570.3055181832165</v>
      </c>
      <c r="AO60">
        <f t="shared" si="32"/>
        <v>800</v>
      </c>
      <c r="AP60">
        <f t="shared" si="25"/>
        <v>2.7570618358982553</v>
      </c>
      <c r="AQ60">
        <f t="shared" si="26"/>
        <v>6.8558912925056372</v>
      </c>
      <c r="AR60">
        <f t="shared" si="27"/>
        <v>10.170000863572112</v>
      </c>
    </row>
    <row r="61" spans="1:44">
      <c r="A61" s="8">
        <f t="shared" si="37"/>
        <v>101</v>
      </c>
      <c r="B61">
        <f t="shared" si="36"/>
        <v>4.4739000000000146</v>
      </c>
      <c r="D61" s="11"/>
      <c r="H61">
        <f t="shared" si="28"/>
        <v>156</v>
      </c>
      <c r="I61">
        <f t="shared" si="1"/>
        <v>9.274169273132378E-2</v>
      </c>
      <c r="J61">
        <f t="shared" si="2"/>
        <v>1.7411279447120974E-2</v>
      </c>
      <c r="K61">
        <f t="shared" si="3"/>
        <v>187.73950457818486</v>
      </c>
      <c r="L61">
        <f t="shared" si="4"/>
        <v>241.58653846153845</v>
      </c>
      <c r="M61">
        <f t="shared" si="5"/>
        <v>8.4001372858031598</v>
      </c>
      <c r="N61">
        <f t="shared" si="6"/>
        <v>1650.6269766603209</v>
      </c>
      <c r="O61" t="e">
        <f t="shared" si="7"/>
        <v>#DIV/0!</v>
      </c>
      <c r="P61" t="e">
        <f t="shared" si="8"/>
        <v>#DIV/0!</v>
      </c>
      <c r="Q61">
        <f t="shared" si="0"/>
        <v>0</v>
      </c>
      <c r="R61" t="e">
        <f t="shared" si="9"/>
        <v>#DIV/0!</v>
      </c>
      <c r="T61">
        <f t="shared" si="29"/>
        <v>136</v>
      </c>
      <c r="U61">
        <f t="shared" si="10"/>
        <v>0.18303648093989203</v>
      </c>
      <c r="V61">
        <f t="shared" si="11"/>
        <v>1.860199916391591E-2</v>
      </c>
      <c r="W61">
        <f t="shared" si="12"/>
        <v>152.44501316126716</v>
      </c>
      <c r="X61">
        <f t="shared" si="13"/>
        <v>277.1139705882353</v>
      </c>
      <c r="Y61">
        <f t="shared" si="14"/>
        <v>16.954978210067669</v>
      </c>
      <c r="Z61">
        <f t="shared" si="15"/>
        <v>3331.6532182782971</v>
      </c>
      <c r="AA61">
        <f t="shared" si="30"/>
        <v>1000</v>
      </c>
      <c r="AB61">
        <f t="shared" si="16"/>
        <v>2.1342024344360002</v>
      </c>
      <c r="AC61">
        <f t="shared" si="17"/>
        <v>4.6206996292869533</v>
      </c>
      <c r="AD61">
        <f t="shared" si="18"/>
        <v>7.792226013779195</v>
      </c>
      <c r="AH61">
        <f t="shared" si="31"/>
        <v>144</v>
      </c>
      <c r="AI61">
        <f t="shared" si="19"/>
        <v>0.21768536210546832</v>
      </c>
      <c r="AJ61">
        <f t="shared" si="20"/>
        <v>1.9265924438507352E-2</v>
      </c>
      <c r="AK61">
        <f t="shared" si="21"/>
        <v>177.00707343999579</v>
      </c>
      <c r="AL61">
        <f t="shared" si="22"/>
        <v>261.71875</v>
      </c>
      <c r="AM61">
        <f t="shared" si="23"/>
        <v>12.198481424640606</v>
      </c>
      <c r="AN61">
        <f t="shared" si="24"/>
        <v>2397.0015999418792</v>
      </c>
      <c r="AO61">
        <f t="shared" si="32"/>
        <v>800</v>
      </c>
      <c r="AP61">
        <f t="shared" si="25"/>
        <v>2.8251071725069399</v>
      </c>
      <c r="AQ61">
        <f t="shared" si="26"/>
        <v>6.7606705801097258</v>
      </c>
      <c r="AR61">
        <f t="shared" si="27"/>
        <v>10.31324031235482</v>
      </c>
    </row>
    <row r="62" spans="1:44">
      <c r="A62" s="8">
        <f t="shared" si="37"/>
        <v>106</v>
      </c>
      <c r="B62">
        <f t="shared" si="36"/>
        <v>4.2044000000000068</v>
      </c>
      <c r="D62" s="11"/>
      <c r="H62">
        <f t="shared" si="28"/>
        <v>158</v>
      </c>
      <c r="I62">
        <f t="shared" si="1"/>
        <v>9.0408661845437249E-2</v>
      </c>
      <c r="J62">
        <f t="shared" si="2"/>
        <v>1.7390847242829403E-2</v>
      </c>
      <c r="K62">
        <f t="shared" si="3"/>
        <v>192.35819763111652</v>
      </c>
      <c r="L62">
        <f t="shared" si="4"/>
        <v>238.52848101265823</v>
      </c>
      <c r="M62">
        <f t="shared" si="5"/>
        <v>7.29490477428359</v>
      </c>
      <c r="N62">
        <f t="shared" si="6"/>
        <v>1433.4487881467255</v>
      </c>
      <c r="O62" t="e">
        <f t="shared" si="7"/>
        <v>#DIV/0!</v>
      </c>
      <c r="P62" t="e">
        <f t="shared" si="8"/>
        <v>#DIV/0!</v>
      </c>
      <c r="Q62">
        <f t="shared" si="0"/>
        <v>0</v>
      </c>
      <c r="R62" t="e">
        <f t="shared" si="9"/>
        <v>#DIV/0!</v>
      </c>
      <c r="T62">
        <f t="shared" si="29"/>
        <v>138</v>
      </c>
      <c r="U62">
        <f t="shared" si="10"/>
        <v>0.17776952066079832</v>
      </c>
      <c r="V62">
        <f t="shared" si="11"/>
        <v>1.8511129114075479E-2</v>
      </c>
      <c r="W62">
        <f t="shared" si="12"/>
        <v>156.19490657284717</v>
      </c>
      <c r="X62">
        <f t="shared" si="13"/>
        <v>273.0978260869565</v>
      </c>
      <c r="Y62">
        <f t="shared" si="14"/>
        <v>16.132602892947087</v>
      </c>
      <c r="Z62">
        <f t="shared" si="15"/>
        <v>3170.0564684641026</v>
      </c>
      <c r="AA62">
        <f t="shared" si="30"/>
        <v>1000</v>
      </c>
      <c r="AB62">
        <f t="shared" si="16"/>
        <v>2.1837090318838999</v>
      </c>
      <c r="AC62">
        <f t="shared" si="17"/>
        <v>4.5537329679929401</v>
      </c>
      <c r="AD62">
        <f t="shared" si="18"/>
        <v>7.9068175728053616</v>
      </c>
      <c r="AH62">
        <f t="shared" si="31"/>
        <v>146</v>
      </c>
      <c r="AI62">
        <f t="shared" si="19"/>
        <v>0.21176222877739684</v>
      </c>
      <c r="AJ62">
        <f t="shared" si="20"/>
        <v>1.9144292213990558E-2</v>
      </c>
      <c r="AK62">
        <f t="shared" si="21"/>
        <v>180.80931924942027</v>
      </c>
      <c r="AL62">
        <f t="shared" si="22"/>
        <v>258.13356164383561</v>
      </c>
      <c r="AM62">
        <f t="shared" si="23"/>
        <v>11.289339389584638</v>
      </c>
      <c r="AN62">
        <f t="shared" si="24"/>
        <v>2218.3551900533816</v>
      </c>
      <c r="AO62">
        <f t="shared" si="32"/>
        <v>800</v>
      </c>
      <c r="AP62">
        <f t="shared" si="25"/>
        <v>2.8943448102739802</v>
      </c>
      <c r="AQ62">
        <f t="shared" si="26"/>
        <v>6.6680586543547982</v>
      </c>
      <c r="AR62">
        <f t="shared" si="27"/>
        <v>10.456479761137524</v>
      </c>
    </row>
    <row r="63" spans="1:44">
      <c r="A63" s="8">
        <f t="shared" si="37"/>
        <v>111</v>
      </c>
      <c r="B63">
        <f t="shared" si="36"/>
        <v>3.3699000000000296</v>
      </c>
      <c r="D63" s="11"/>
      <c r="H63">
        <f t="shared" si="28"/>
        <v>160</v>
      </c>
      <c r="I63">
        <f t="shared" si="1"/>
        <v>8.8162571652714655E-2</v>
      </c>
      <c r="J63">
        <f t="shared" si="2"/>
        <v>1.7371668256026169E-2</v>
      </c>
      <c r="K63">
        <f t="shared" si="3"/>
        <v>197.04130596888353</v>
      </c>
      <c r="L63">
        <f t="shared" si="4"/>
        <v>235.546875</v>
      </c>
      <c r="M63">
        <f t="shared" si="5"/>
        <v>6.1608910449786345</v>
      </c>
      <c r="N63">
        <f t="shared" si="6"/>
        <v>1210.6150903383016</v>
      </c>
      <c r="O63" t="e">
        <f t="shared" si="7"/>
        <v>#DIV/0!</v>
      </c>
      <c r="P63" t="e">
        <f t="shared" si="8"/>
        <v>#DIV/0!</v>
      </c>
      <c r="Q63">
        <f t="shared" si="0"/>
        <v>0</v>
      </c>
      <c r="R63" t="e">
        <f t="shared" si="9"/>
        <v>#DIV/0!</v>
      </c>
      <c r="T63">
        <f t="shared" si="29"/>
        <v>140</v>
      </c>
      <c r="U63">
        <f t="shared" si="10"/>
        <v>0.17272667099307362</v>
      </c>
      <c r="V63">
        <f t="shared" si="11"/>
        <v>1.8426611681606486E-2</v>
      </c>
      <c r="W63">
        <f t="shared" si="12"/>
        <v>160.02113259925036</v>
      </c>
      <c r="X63">
        <f t="shared" si="13"/>
        <v>269.19642857142856</v>
      </c>
      <c r="Y63">
        <f t="shared" si="14"/>
        <v>15.284541436104947</v>
      </c>
      <c r="Z63">
        <f t="shared" si="15"/>
        <v>3003.412392194622</v>
      </c>
      <c r="AA63">
        <f t="shared" si="30"/>
        <v>1000</v>
      </c>
      <c r="AB63">
        <f t="shared" si="16"/>
        <v>2.234244662634254</v>
      </c>
      <c r="AC63">
        <f t="shared" si="17"/>
        <v>4.4886796398787547</v>
      </c>
      <c r="AD63">
        <f t="shared" si="18"/>
        <v>8.0214091318315273</v>
      </c>
      <c r="AH63">
        <f t="shared" si="31"/>
        <v>148</v>
      </c>
      <c r="AI63">
        <f t="shared" si="19"/>
        <v>0.20607759626638927</v>
      </c>
      <c r="AJ63">
        <f t="shared" si="20"/>
        <v>1.9030712911915233E-2</v>
      </c>
      <c r="AK63">
        <f t="shared" si="21"/>
        <v>184.6946320871765</v>
      </c>
      <c r="AL63">
        <f t="shared" si="22"/>
        <v>254.64527027027026</v>
      </c>
      <c r="AM63">
        <f t="shared" si="23"/>
        <v>10.352694451097875</v>
      </c>
      <c r="AN63">
        <f t="shared" si="24"/>
        <v>2034.3044596407324</v>
      </c>
      <c r="AO63">
        <f t="shared" si="32"/>
        <v>800</v>
      </c>
      <c r="AP63">
        <f t="shared" si="25"/>
        <v>2.9647674468878122</v>
      </c>
      <c r="AQ63">
        <f t="shared" si="26"/>
        <v>6.5779497536202731</v>
      </c>
      <c r="AR63">
        <f t="shared" si="27"/>
        <v>10.599719209920231</v>
      </c>
    </row>
    <row r="64" spans="1:44">
      <c r="A64" s="8">
        <f t="shared" si="37"/>
        <v>116</v>
      </c>
      <c r="B64">
        <f t="shared" si="36"/>
        <v>1.9704000000000406</v>
      </c>
      <c r="D64" s="11"/>
      <c r="H64">
        <f t="shared" si="28"/>
        <v>162</v>
      </c>
      <c r="I64">
        <f t="shared" si="1"/>
        <v>8.5999155399691177E-2</v>
      </c>
      <c r="J64">
        <f t="shared" si="2"/>
        <v>1.7353651367936523E-2</v>
      </c>
      <c r="K64">
        <f t="shared" si="3"/>
        <v>201.7886255659534</v>
      </c>
      <c r="L64">
        <f t="shared" si="4"/>
        <v>232.63888888888889</v>
      </c>
      <c r="M64">
        <f t="shared" si="5"/>
        <v>4.9977426583155493</v>
      </c>
      <c r="N64">
        <f t="shared" si="6"/>
        <v>982.05643235900538</v>
      </c>
      <c r="O64" t="e">
        <f t="shared" si="7"/>
        <v>#DIV/0!</v>
      </c>
      <c r="P64" t="e">
        <f t="shared" si="8"/>
        <v>#DIV/0!</v>
      </c>
      <c r="Q64">
        <f t="shared" si="0"/>
        <v>0</v>
      </c>
      <c r="R64" t="e">
        <f t="shared" si="9"/>
        <v>#DIV/0!</v>
      </c>
      <c r="T64">
        <f t="shared" si="29"/>
        <v>142</v>
      </c>
      <c r="U64">
        <f t="shared" si="10"/>
        <v>0.16789539533149389</v>
      </c>
      <c r="V64">
        <f t="shared" si="11"/>
        <v>1.8347921315216089E-2</v>
      </c>
      <c r="W64">
        <f t="shared" si="12"/>
        <v>163.92279203658163</v>
      </c>
      <c r="X64">
        <f t="shared" si="13"/>
        <v>265.40492957746477</v>
      </c>
      <c r="Y64">
        <f t="shared" si="14"/>
        <v>14.410463530805405</v>
      </c>
      <c r="Z64">
        <f t="shared" si="15"/>
        <v>2831.6560838032619</v>
      </c>
      <c r="AA64">
        <f t="shared" si="30"/>
        <v>1000</v>
      </c>
      <c r="AB64">
        <f t="shared" si="16"/>
        <v>2.2858017365595513</v>
      </c>
      <c r="AC64">
        <f t="shared" si="17"/>
        <v>4.4254587998804631</v>
      </c>
      <c r="AD64">
        <f t="shared" si="18"/>
        <v>8.1360006908576903</v>
      </c>
      <c r="AH64">
        <f t="shared" si="31"/>
        <v>150</v>
      </c>
      <c r="AI64">
        <f t="shared" si="19"/>
        <v>0.2006188297163996</v>
      </c>
      <c r="AJ64">
        <f t="shared" si="20"/>
        <v>1.8924555127066152E-2</v>
      </c>
      <c r="AK64">
        <f t="shared" si="21"/>
        <v>188.66180361851812</v>
      </c>
      <c r="AL64">
        <f t="shared" si="22"/>
        <v>251.25</v>
      </c>
      <c r="AM64">
        <f t="shared" si="23"/>
        <v>9.3882294572222822</v>
      </c>
      <c r="AN64">
        <f t="shared" si="24"/>
        <v>1844.7870883441785</v>
      </c>
      <c r="AO64">
        <f t="shared" si="32"/>
        <v>800</v>
      </c>
      <c r="AP64">
        <f t="shared" si="25"/>
        <v>3.0363680910330602</v>
      </c>
      <c r="AQ64">
        <f t="shared" si="26"/>
        <v>6.4902437569053371</v>
      </c>
      <c r="AR64">
        <f t="shared" si="27"/>
        <v>10.742958658702936</v>
      </c>
    </row>
    <row r="65" spans="1:44" ht="15.75" thickBot="1">
      <c r="A65" s="19">
        <f t="shared" si="37"/>
        <v>121</v>
      </c>
      <c r="B65" s="25">
        <f>0</f>
        <v>0</v>
      </c>
      <c r="C65" s="25"/>
      <c r="D65" s="20"/>
      <c r="H65">
        <f t="shared" si="28"/>
        <v>164</v>
      </c>
      <c r="I65">
        <f t="shared" si="1"/>
        <v>8.3914404904428003E-2</v>
      </c>
      <c r="J65">
        <f t="shared" si="2"/>
        <v>1.7336713096198508E-2</v>
      </c>
      <c r="K65">
        <f t="shared" si="3"/>
        <v>206.59996476104047</v>
      </c>
      <c r="L65">
        <f t="shared" si="4"/>
        <v>229.80182926829269</v>
      </c>
      <c r="M65">
        <f t="shared" si="5"/>
        <v>3.8051057791893648</v>
      </c>
      <c r="N65">
        <f t="shared" si="6"/>
        <v>747.70328561071017</v>
      </c>
      <c r="O65" t="e">
        <f t="shared" si="7"/>
        <v>#DIV/0!</v>
      </c>
      <c r="P65" t="e">
        <f t="shared" si="8"/>
        <v>#DIV/0!</v>
      </c>
      <c r="Q65">
        <f t="shared" si="0"/>
        <v>0</v>
      </c>
      <c r="R65" t="e">
        <f t="shared" si="9"/>
        <v>#DIV/0!</v>
      </c>
      <c r="T65">
        <f t="shared" si="29"/>
        <v>144</v>
      </c>
      <c r="U65">
        <f t="shared" si="10"/>
        <v>0.16326402157910125</v>
      </c>
      <c r="V65">
        <f t="shared" si="11"/>
        <v>1.8274582496660387E-2</v>
      </c>
      <c r="W65">
        <f t="shared" si="12"/>
        <v>167.89904768889673</v>
      </c>
      <c r="X65">
        <f t="shared" si="13"/>
        <v>261.71875</v>
      </c>
      <c r="Y65">
        <f t="shared" si="14"/>
        <v>13.510037132798871</v>
      </c>
      <c r="Z65">
        <f t="shared" si="15"/>
        <v>2654.7222965949782</v>
      </c>
      <c r="AA65">
        <f t="shared" si="30"/>
        <v>1000</v>
      </c>
      <c r="AB65">
        <f t="shared" si="16"/>
        <v>2.3383728409165423</v>
      </c>
      <c r="AC65">
        <f t="shared" si="17"/>
        <v>4.3639940943265678</v>
      </c>
      <c r="AD65">
        <f t="shared" si="18"/>
        <v>8.2505922498838569</v>
      </c>
      <c r="AH65">
        <f t="shared" si="31"/>
        <v>152</v>
      </c>
      <c r="AI65">
        <f t="shared" si="19"/>
        <v>0.19537412000601589</v>
      </c>
      <c r="AJ65">
        <f t="shared" si="20"/>
        <v>1.8825244464489591E-2</v>
      </c>
      <c r="AK65">
        <f t="shared" si="21"/>
        <v>192.70970447784927</v>
      </c>
      <c r="AL65">
        <f t="shared" si="22"/>
        <v>247.94407894736841</v>
      </c>
      <c r="AM65">
        <f t="shared" si="23"/>
        <v>8.3956249193669095</v>
      </c>
      <c r="AN65">
        <f t="shared" si="24"/>
        <v>1649.7402966555976</v>
      </c>
      <c r="AO65">
        <f t="shared" si="32"/>
        <v>800</v>
      </c>
      <c r="AP65">
        <f t="shared" si="25"/>
        <v>3.1091400537410818</v>
      </c>
      <c r="AQ65">
        <f t="shared" si="26"/>
        <v>6.4048458127355303</v>
      </c>
      <c r="AR65">
        <f t="shared" si="27"/>
        <v>10.886198107485644</v>
      </c>
    </row>
    <row r="66" spans="1:44">
      <c r="H66">
        <f t="shared" si="28"/>
        <v>166</v>
      </c>
      <c r="I66">
        <f t="shared" si="1"/>
        <v>8.1904551978135273E-2</v>
      </c>
      <c r="J66">
        <f t="shared" si="2"/>
        <v>1.7320776872128112E-2</v>
      </c>
      <c r="K66">
        <f t="shared" si="3"/>
        <v>211.47514336873436</v>
      </c>
      <c r="L66">
        <f t="shared" si="4"/>
        <v>227.03313253012047</v>
      </c>
      <c r="M66">
        <f t="shared" si="5"/>
        <v>2.5826262007900933</v>
      </c>
      <c r="N66">
        <f t="shared" si="6"/>
        <v>507.48604845525335</v>
      </c>
      <c r="O66" t="e">
        <f t="shared" si="7"/>
        <v>#DIV/0!</v>
      </c>
      <c r="P66" t="e">
        <f t="shared" si="8"/>
        <v>#DIV/0!</v>
      </c>
      <c r="Q66">
        <f t="shared" si="0"/>
        <v>0</v>
      </c>
      <c r="R66" t="e">
        <f t="shared" si="9"/>
        <v>#DIV/0!</v>
      </c>
      <c r="T66">
        <f t="shared" si="29"/>
        <v>146</v>
      </c>
      <c r="U66">
        <f t="shared" si="10"/>
        <v>0.15882167158304764</v>
      </c>
      <c r="V66">
        <f t="shared" si="11"/>
        <v>1.820616437036969E-2</v>
      </c>
      <c r="W66">
        <f t="shared" si="12"/>
        <v>171.94911930689867</v>
      </c>
      <c r="X66">
        <f t="shared" si="13"/>
        <v>258.13356164383561</v>
      </c>
      <c r="Y66">
        <f t="shared" si="14"/>
        <v>12.582928581192792</v>
      </c>
      <c r="Z66">
        <f t="shared" si="15"/>
        <v>2472.5454662043835</v>
      </c>
      <c r="AA66">
        <f t="shared" si="30"/>
        <v>1000</v>
      </c>
      <c r="AB66">
        <f t="shared" si="16"/>
        <v>2.3919507527719608</v>
      </c>
      <c r="AC66">
        <f t="shared" si="17"/>
        <v>4.3042133533083957</v>
      </c>
      <c r="AD66">
        <f t="shared" si="18"/>
        <v>8.3651838089100199</v>
      </c>
      <c r="AH66">
        <f t="shared" si="31"/>
        <v>154</v>
      </c>
      <c r="AI66">
        <f t="shared" si="19"/>
        <v>0.19033241982707838</v>
      </c>
      <c r="AJ66">
        <f t="shared" si="20"/>
        <v>1.8732257731765723E-2</v>
      </c>
      <c r="AK66">
        <f t="shared" si="21"/>
        <v>196.83727815560201</v>
      </c>
      <c r="AL66">
        <f t="shared" si="22"/>
        <v>244.72402597402598</v>
      </c>
      <c r="AM66">
        <f t="shared" si="23"/>
        <v>7.3745591640372909</v>
      </c>
      <c r="AN66">
        <f t="shared" si="24"/>
        <v>1449.1008757333277</v>
      </c>
      <c r="AO66">
        <f t="shared" si="32"/>
        <v>800</v>
      </c>
      <c r="AP66">
        <f t="shared" si="25"/>
        <v>3.1830769390725195</v>
      </c>
      <c r="AQ66">
        <f t="shared" si="26"/>
        <v>6.3216659969857174</v>
      </c>
      <c r="AR66">
        <f t="shared" si="27"/>
        <v>11.029437556268348</v>
      </c>
    </row>
    <row r="67" spans="1:44" ht="15.75" thickBot="1">
      <c r="H67">
        <f t="shared" si="28"/>
        <v>168</v>
      </c>
      <c r="I67">
        <f t="shared" si="1"/>
        <v>7.9966051385682232E-2</v>
      </c>
      <c r="J67">
        <f t="shared" si="2"/>
        <v>1.7305772394034313E-2</v>
      </c>
      <c r="K67">
        <f t="shared" si="3"/>
        <v>216.41399186471369</v>
      </c>
      <c r="L67">
        <f t="shared" si="4"/>
        <v>224.33035714285714</v>
      </c>
      <c r="M67">
        <f t="shared" si="5"/>
        <v>1.3299493667280988</v>
      </c>
      <c r="N67">
        <f t="shared" si="6"/>
        <v>261.33505056207144</v>
      </c>
      <c r="O67" t="e">
        <f t="shared" si="7"/>
        <v>#DIV/0!</v>
      </c>
      <c r="P67" t="e">
        <f t="shared" si="8"/>
        <v>#DIV/0!</v>
      </c>
      <c r="Q67">
        <f t="shared" si="0"/>
        <v>0</v>
      </c>
      <c r="R67" t="e">
        <f t="shared" si="9"/>
        <v>#DIV/0!</v>
      </c>
      <c r="T67">
        <f t="shared" si="29"/>
        <v>148</v>
      </c>
      <c r="U67">
        <f t="shared" si="10"/>
        <v>0.15455819719979197</v>
      </c>
      <c r="V67">
        <f t="shared" si="11"/>
        <v>1.8142276012952319E-2</v>
      </c>
      <c r="W67">
        <f t="shared" si="12"/>
        <v>176.07227900213312</v>
      </c>
      <c r="X67">
        <f t="shared" si="13"/>
        <v>254.64527027027026</v>
      </c>
      <c r="Y67">
        <f t="shared" si="14"/>
        <v>11.628802707684297</v>
      </c>
      <c r="Z67">
        <f t="shared" si="15"/>
        <v>2285.0597320599645</v>
      </c>
      <c r="AA67">
        <f t="shared" si="30"/>
        <v>1000</v>
      </c>
      <c r="AB67">
        <f t="shared" si="16"/>
        <v>2.4465284484429017</v>
      </c>
      <c r="AC67">
        <f t="shared" si="17"/>
        <v>4.2460483079934166</v>
      </c>
      <c r="AD67">
        <f t="shared" si="18"/>
        <v>8.4797753679361847</v>
      </c>
      <c r="AH67">
        <f t="shared" si="31"/>
        <v>156</v>
      </c>
      <c r="AI67">
        <f t="shared" si="19"/>
        <v>0.18548338546264756</v>
      </c>
      <c r="AJ67">
        <f t="shared" si="20"/>
        <v>1.8645117788483892E-2</v>
      </c>
      <c r="AK67">
        <f t="shared" si="21"/>
        <v>201.04353543017064</v>
      </c>
      <c r="AL67">
        <f t="shared" si="22"/>
        <v>241.58653846153845</v>
      </c>
      <c r="AM67">
        <f t="shared" si="23"/>
        <v>6.3247084728933798</v>
      </c>
      <c r="AN67">
        <f t="shared" si="24"/>
        <v>1242.8052149235491</v>
      </c>
      <c r="AO67">
        <f t="shared" si="32"/>
        <v>800</v>
      </c>
      <c r="AP67">
        <f t="shared" si="25"/>
        <v>3.258172634326562</v>
      </c>
      <c r="AQ67">
        <f t="shared" si="26"/>
        <v>6.2406189970243622</v>
      </c>
      <c r="AR67">
        <f t="shared" si="27"/>
        <v>11.172677005051055</v>
      </c>
    </row>
    <row r="68" spans="1:44" ht="15.75" thickBot="1">
      <c r="A68" s="31" t="s">
        <v>56</v>
      </c>
      <c r="B68" s="32"/>
      <c r="C68" s="32"/>
      <c r="D68" s="33"/>
      <c r="H68" s="24">
        <f t="shared" si="28"/>
        <v>170</v>
      </c>
      <c r="I68" s="24">
        <f t="shared" si="1"/>
        <v>7.8095565201020595E-2</v>
      </c>
      <c r="J68" s="24">
        <f t="shared" si="2"/>
        <v>1.7291635047795538E-2</v>
      </c>
      <c r="K68" s="24">
        <f t="shared" si="3"/>
        <v>221.41635063766157</v>
      </c>
      <c r="L68" s="24">
        <f t="shared" si="4"/>
        <v>221.69117647058823</v>
      </c>
      <c r="M68" s="24">
        <f t="shared" si="5"/>
        <v>4.6720391597533252E-2</v>
      </c>
      <c r="N68" s="24">
        <f t="shared" si="6"/>
        <v>9.1805569489152834</v>
      </c>
      <c r="O68" s="24" t="e">
        <f t="shared" si="7"/>
        <v>#DIV/0!</v>
      </c>
      <c r="P68" s="24" t="e">
        <f t="shared" si="8"/>
        <v>#DIV/0!</v>
      </c>
      <c r="Q68" s="24">
        <f t="shared" si="0"/>
        <v>0</v>
      </c>
      <c r="R68" s="24" t="e">
        <f t="shared" si="9"/>
        <v>#DIV/0!</v>
      </c>
      <c r="T68">
        <f t="shared" si="29"/>
        <v>150</v>
      </c>
      <c r="U68">
        <f t="shared" si="10"/>
        <v>0.15046412228729969</v>
      </c>
      <c r="V68">
        <f t="shared" si="11"/>
        <v>1.808256225897471E-2</v>
      </c>
      <c r="W68">
        <f t="shared" si="12"/>
        <v>180.26784708630518</v>
      </c>
      <c r="X68">
        <f t="shared" si="13"/>
        <v>251.25</v>
      </c>
      <c r="Y68">
        <f t="shared" si="14"/>
        <v>10.647322937054224</v>
      </c>
      <c r="Z68">
        <f t="shared" si="15"/>
        <v>2092.1989571311551</v>
      </c>
      <c r="AA68">
        <f t="shared" si="30"/>
        <v>1000</v>
      </c>
      <c r="AB68">
        <f t="shared" si="16"/>
        <v>2.5020991103303643</v>
      </c>
      <c r="AC68">
        <f t="shared" si="17"/>
        <v>4.1894343305535049</v>
      </c>
      <c r="AD68">
        <f t="shared" si="18"/>
        <v>8.5943669269623495</v>
      </c>
      <c r="AH68">
        <f t="shared" si="31"/>
        <v>158</v>
      </c>
      <c r="AI68">
        <f t="shared" si="19"/>
        <v>0.1808173236908745</v>
      </c>
      <c r="AJ68">
        <f t="shared" si="20"/>
        <v>1.8563388971317606E-2</v>
      </c>
      <c r="AK68">
        <f t="shared" si="21"/>
        <v>205.32754929006248</v>
      </c>
      <c r="AL68">
        <f t="shared" si="22"/>
        <v>238.52848101265823</v>
      </c>
      <c r="AM68">
        <f t="shared" si="23"/>
        <v>5.2457472121701292</v>
      </c>
      <c r="AN68">
        <f t="shared" si="24"/>
        <v>1030.7893271914304</v>
      </c>
      <c r="AO68">
        <f t="shared" si="32"/>
        <v>800</v>
      </c>
      <c r="AP68">
        <f t="shared" si="25"/>
        <v>3.334421299940594</v>
      </c>
      <c r="AQ68">
        <f t="shared" si="26"/>
        <v>6.161623819846838</v>
      </c>
      <c r="AR68">
        <f t="shared" si="27"/>
        <v>11.31591645383376</v>
      </c>
    </row>
    <row r="69" spans="1:44">
      <c r="A69" s="8" t="s">
        <v>19</v>
      </c>
      <c r="B69" t="s">
        <v>51</v>
      </c>
      <c r="D69" s="11"/>
      <c r="H69">
        <f t="shared" si="28"/>
        <v>172</v>
      </c>
      <c r="I69">
        <f t="shared" si="1"/>
        <v>7.6289948428525392E-2</v>
      </c>
      <c r="J69">
        <f t="shared" si="2"/>
        <v>1.7278305387013457E-2</v>
      </c>
      <c r="K69">
        <f t="shared" si="3"/>
        <v>226.48206930171372</v>
      </c>
      <c r="L69">
        <f t="shared" si="4"/>
        <v>219.11337209302326</v>
      </c>
      <c r="M69">
        <f t="shared" si="5"/>
        <v>-1.2674159198947597</v>
      </c>
      <c r="N69">
        <f t="shared" si="6"/>
        <v>-249.04722825932026</v>
      </c>
      <c r="O69" t="e">
        <f t="shared" si="7"/>
        <v>#DIV/0!</v>
      </c>
      <c r="P69" t="e">
        <f t="shared" si="8"/>
        <v>#DIV/0!</v>
      </c>
      <c r="Q69">
        <f t="shared" si="0"/>
        <v>0</v>
      </c>
      <c r="R69" t="e">
        <f t="shared" si="9"/>
        <v>#DIV/0!</v>
      </c>
      <c r="T69">
        <f t="shared" si="29"/>
        <v>152</v>
      </c>
      <c r="U69">
        <f t="shared" si="10"/>
        <v>0.14653059000451193</v>
      </c>
      <c r="V69">
        <f t="shared" si="11"/>
        <v>1.8026700011275397E-2</v>
      </c>
      <c r="W69">
        <f t="shared" si="12"/>
        <v>184.5351882912673</v>
      </c>
      <c r="X69">
        <f t="shared" si="13"/>
        <v>247.94407894736841</v>
      </c>
      <c r="Y69">
        <f t="shared" si="14"/>
        <v>9.6381513797273684</v>
      </c>
      <c r="Z69">
        <f t="shared" si="15"/>
        <v>1893.8967461164279</v>
      </c>
      <c r="AA69">
        <f t="shared" si="30"/>
        <v>1000</v>
      </c>
      <c r="AB69">
        <f t="shared" si="16"/>
        <v>2.5586561314911664</v>
      </c>
      <c r="AC69">
        <f t="shared" si="17"/>
        <v>4.1343101946251695</v>
      </c>
      <c r="AD69">
        <f t="shared" si="18"/>
        <v>8.7089584859885143</v>
      </c>
      <c r="AH69">
        <f t="shared" si="31"/>
        <v>160</v>
      </c>
      <c r="AI69">
        <f t="shared" si="19"/>
        <v>0.17632514330542931</v>
      </c>
      <c r="AJ69">
        <f t="shared" si="20"/>
        <v>1.8486673024104675E-2</v>
      </c>
      <c r="AK69">
        <f t="shared" si="21"/>
        <v>209.68845029755255</v>
      </c>
      <c r="AL69">
        <f t="shared" si="22"/>
        <v>235.546875</v>
      </c>
      <c r="AM69">
        <f t="shared" si="23"/>
        <v>4.1373479523915924</v>
      </c>
      <c r="AN69">
        <f t="shared" si="24"/>
        <v>812.98887264494795</v>
      </c>
      <c r="AO69">
        <f t="shared" si="32"/>
        <v>800</v>
      </c>
      <c r="AP69">
        <f t="shared" si="25"/>
        <v>3.4118173592169021</v>
      </c>
      <c r="AQ69">
        <f t="shared" si="26"/>
        <v>6.0846035220987531</v>
      </c>
      <c r="AR69">
        <f t="shared" si="27"/>
        <v>11.459155902616464</v>
      </c>
    </row>
    <row r="70" spans="1:44">
      <c r="A70" s="8">
        <v>40</v>
      </c>
      <c r="B70">
        <v>7</v>
      </c>
      <c r="D70" s="11"/>
      <c r="H70">
        <f t="shared" si="28"/>
        <v>174</v>
      </c>
      <c r="I70">
        <f t="shared" si="1"/>
        <v>7.4546235774524225E-2</v>
      </c>
      <c r="J70">
        <f t="shared" si="2"/>
        <v>1.7265728666014717E-2</v>
      </c>
      <c r="K70">
        <f t="shared" si="3"/>
        <v>231.61100606390627</v>
      </c>
      <c r="L70">
        <f t="shared" si="4"/>
        <v>216.59482758620689</v>
      </c>
      <c r="M70">
        <f t="shared" si="5"/>
        <v>-2.6128150551196927</v>
      </c>
      <c r="N70">
        <f t="shared" si="6"/>
        <v>-513.41815833101964</v>
      </c>
      <c r="O70" t="e">
        <f t="shared" si="7"/>
        <v>#DIV/0!</v>
      </c>
      <c r="P70" t="e">
        <f t="shared" si="8"/>
        <v>#DIV/0!</v>
      </c>
      <c r="Q70">
        <f t="shared" si="0"/>
        <v>0</v>
      </c>
      <c r="R70" t="e">
        <f t="shared" si="9"/>
        <v>#DIV/0!</v>
      </c>
      <c r="T70">
        <f t="shared" si="29"/>
        <v>154</v>
      </c>
      <c r="U70">
        <f t="shared" si="10"/>
        <v>0.14274931487030879</v>
      </c>
      <c r="V70">
        <f t="shared" si="11"/>
        <v>1.7974394974118221E-2</v>
      </c>
      <c r="W70">
        <f t="shared" si="12"/>
        <v>188.87370833038739</v>
      </c>
      <c r="X70">
        <f t="shared" si="13"/>
        <v>244.72402597402598</v>
      </c>
      <c r="Y70">
        <f t="shared" si="14"/>
        <v>8.600948917120343</v>
      </c>
      <c r="Z70">
        <f t="shared" si="15"/>
        <v>1690.0864622141473</v>
      </c>
      <c r="AA70">
        <f t="shared" si="30"/>
        <v>1000</v>
      </c>
      <c r="AB70">
        <f t="shared" si="16"/>
        <v>2.6161931182608407</v>
      </c>
      <c r="AC70">
        <f t="shared" si="17"/>
        <v>4.0806178544352321</v>
      </c>
      <c r="AD70">
        <f t="shared" si="18"/>
        <v>8.8235500450146809</v>
      </c>
      <c r="AH70">
        <f t="shared" si="31"/>
        <v>162</v>
      </c>
      <c r="AI70">
        <f t="shared" si="19"/>
        <v>0.17199831079938235</v>
      </c>
      <c r="AJ70">
        <f t="shared" si="20"/>
        <v>1.8414605471746094E-2</v>
      </c>
      <c r="AK70">
        <f t="shared" si="21"/>
        <v>214.12542235051089</v>
      </c>
      <c r="AL70">
        <f t="shared" si="22"/>
        <v>232.63888888888889</v>
      </c>
      <c r="AM70">
        <f t="shared" si="23"/>
        <v>2.9991815792172356</v>
      </c>
      <c r="AN70">
        <f t="shared" si="24"/>
        <v>589.3391803161868</v>
      </c>
      <c r="AO70">
        <f t="shared" si="32"/>
        <v>800</v>
      </c>
      <c r="AP70">
        <f t="shared" si="25"/>
        <v>3.4903554879896328</v>
      </c>
      <c r="AQ70">
        <f t="shared" si="26"/>
        <v>6.0094849600975344</v>
      </c>
      <c r="AR70">
        <f t="shared" si="27"/>
        <v>11.602395351399172</v>
      </c>
    </row>
    <row r="71" spans="1:44">
      <c r="A71" s="8">
        <v>50</v>
      </c>
      <c r="B71">
        <v>8.5</v>
      </c>
      <c r="D71" s="11"/>
      <c r="H71">
        <f t="shared" si="28"/>
        <v>176</v>
      </c>
      <c r="I71">
        <f t="shared" si="1"/>
        <v>7.2861629465053451E-2</v>
      </c>
      <c r="J71">
        <f t="shared" si="2"/>
        <v>1.7253854419797945E-2</v>
      </c>
      <c r="K71">
        <f t="shared" si="3"/>
        <v>236.80302714165069</v>
      </c>
      <c r="L71">
        <f t="shared" si="4"/>
        <v>214.13352272727272</v>
      </c>
      <c r="M71">
        <f t="shared" si="5"/>
        <v>-3.9898327769305224</v>
      </c>
      <c r="N71">
        <f t="shared" si="6"/>
        <v>-784.00214066684771</v>
      </c>
      <c r="O71" t="e">
        <f t="shared" si="7"/>
        <v>#DIV/0!</v>
      </c>
      <c r="P71" t="e">
        <f t="shared" si="8"/>
        <v>#DIV/0!</v>
      </c>
      <c r="Q71">
        <f t="shared" si="0"/>
        <v>0</v>
      </c>
      <c r="R71" t="e">
        <f t="shared" si="9"/>
        <v>#DIV/0!</v>
      </c>
      <c r="T71">
        <f t="shared" si="29"/>
        <v>156</v>
      </c>
      <c r="U71">
        <f t="shared" si="10"/>
        <v>0.13911253909698565</v>
      </c>
      <c r="V71">
        <f t="shared" si="11"/>
        <v>1.7925378756022192E-2</v>
      </c>
      <c r="W71">
        <f t="shared" si="12"/>
        <v>193.28285076651227</v>
      </c>
      <c r="X71">
        <f t="shared" si="13"/>
        <v>241.58653846153845</v>
      </c>
      <c r="Y71">
        <f t="shared" si="14"/>
        <v>7.535375280424085</v>
      </c>
      <c r="Z71">
        <f t="shared" si="15"/>
        <v>1480.7012426033327</v>
      </c>
      <c r="AA71">
        <f t="shared" si="30"/>
        <v>1000</v>
      </c>
      <c r="AB71">
        <f t="shared" si="16"/>
        <v>2.674703891208833</v>
      </c>
      <c r="AC71">
        <f t="shared" si="17"/>
        <v>4.0283022409168314</v>
      </c>
      <c r="AD71">
        <f t="shared" si="18"/>
        <v>8.9381416040408439</v>
      </c>
      <c r="AH71">
        <f t="shared" si="31"/>
        <v>164</v>
      </c>
      <c r="AI71">
        <f t="shared" si="19"/>
        <v>0.16782880980885601</v>
      </c>
      <c r="AJ71">
        <f t="shared" si="20"/>
        <v>1.834685238479403E-2</v>
      </c>
      <c r="AK71">
        <f t="shared" si="21"/>
        <v>218.63769880379508</v>
      </c>
      <c r="AL71">
        <f t="shared" si="22"/>
        <v>229.80182926829269</v>
      </c>
      <c r="AM71">
        <f t="shared" si="23"/>
        <v>1.8309173961776091</v>
      </c>
      <c r="AN71">
        <f t="shared" si="24"/>
        <v>359.77526834890017</v>
      </c>
      <c r="AO71">
        <f t="shared" si="32"/>
        <v>800</v>
      </c>
      <c r="AP71">
        <f t="shared" si="25"/>
        <v>3.570030604324959</v>
      </c>
      <c r="AQ71">
        <f t="shared" si="26"/>
        <v>5.9361985581451258</v>
      </c>
      <c r="AR71">
        <f t="shared" si="27"/>
        <v>11.745634800181881</v>
      </c>
    </row>
    <row r="72" spans="1:44">
      <c r="A72" s="8">
        <v>76</v>
      </c>
      <c r="B72">
        <v>11</v>
      </c>
      <c r="D72" s="11"/>
      <c r="H72">
        <f t="shared" si="28"/>
        <v>178</v>
      </c>
      <c r="I72">
        <f t="shared" si="1"/>
        <v>7.1233488016333016E-2</v>
      </c>
      <c r="J72">
        <f t="shared" si="2"/>
        <v>1.7242636085740577E-2</v>
      </c>
      <c r="K72">
        <f t="shared" si="3"/>
        <v>242.05800622576615</v>
      </c>
      <c r="L72">
        <f t="shared" si="4"/>
        <v>211.72752808988764</v>
      </c>
      <c r="M72">
        <f t="shared" si="5"/>
        <v>-5.398825108186375</v>
      </c>
      <c r="N72">
        <f t="shared" si="6"/>
        <v>-1060.8691337586226</v>
      </c>
      <c r="O72" t="e">
        <f t="shared" si="7"/>
        <v>#DIV/0!</v>
      </c>
      <c r="P72" t="e">
        <f t="shared" si="8"/>
        <v>#DIV/0!</v>
      </c>
      <c r="Q72">
        <f t="shared" ref="Q72:Q83" si="38">((180*$B$8)/(PI()*H72))*SQRT($D$4^2-1)</f>
        <v>0</v>
      </c>
      <c r="R72" t="e">
        <f t="shared" si="9"/>
        <v>#DIV/0!</v>
      </c>
      <c r="T72">
        <f t="shared" si="29"/>
        <v>158</v>
      </c>
      <c r="U72">
        <f t="shared" si="10"/>
        <v>0.13561299276815586</v>
      </c>
      <c r="V72">
        <f t="shared" si="11"/>
        <v>1.7879406296366154E-2</v>
      </c>
      <c r="W72">
        <f t="shared" si="12"/>
        <v>197.76209415567735</v>
      </c>
      <c r="X72">
        <f t="shared" si="13"/>
        <v>238.52848101265823</v>
      </c>
      <c r="Y72">
        <f t="shared" si="14"/>
        <v>6.4410891234029801</v>
      </c>
      <c r="Z72">
        <f t="shared" si="15"/>
        <v>1265.6740127486855</v>
      </c>
      <c r="AA72">
        <f t="shared" si="30"/>
        <v>1000</v>
      </c>
      <c r="AB72">
        <f t="shared" si="16"/>
        <v>2.7341824846777167</v>
      </c>
      <c r="AC72">
        <f t="shared" si="17"/>
        <v>3.9773110733102892</v>
      </c>
      <c r="AD72">
        <f t="shared" si="18"/>
        <v>9.0527331630670069</v>
      </c>
      <c r="AH72">
        <f t="shared" si="31"/>
        <v>166</v>
      </c>
      <c r="AI72">
        <f t="shared" si="19"/>
        <v>0.16380910395627055</v>
      </c>
      <c r="AJ72">
        <f t="shared" si="20"/>
        <v>1.8283107488512446E-2</v>
      </c>
      <c r="AK72">
        <f t="shared" si="21"/>
        <v>223.2245589157632</v>
      </c>
      <c r="AL72">
        <f t="shared" si="22"/>
        <v>227.03313253012047</v>
      </c>
      <c r="AM72">
        <f t="shared" si="23"/>
        <v>0.63222321998330711</v>
      </c>
      <c r="AN72">
        <f t="shared" si="24"/>
        <v>124.23186272671984</v>
      </c>
      <c r="AO72">
        <f t="shared" si="32"/>
        <v>800</v>
      </c>
      <c r="AP72">
        <f t="shared" si="25"/>
        <v>3.6508378583299899</v>
      </c>
      <c r="AQ72">
        <f t="shared" si="26"/>
        <v>5.8646780935891583</v>
      </c>
      <c r="AR72">
        <f t="shared" si="27"/>
        <v>11.88887424896458</v>
      </c>
    </row>
    <row r="73" spans="1:44">
      <c r="A73" s="8">
        <v>98</v>
      </c>
      <c r="B73">
        <v>10</v>
      </c>
      <c r="D73" s="11"/>
      <c r="H73">
        <f t="shared" si="28"/>
        <v>180</v>
      </c>
      <c r="I73">
        <f t="shared" ref="I73:I83" si="39">(2*$B$3*$B$8*$D$4)/($B$10*$B$9*$B$4*H73^2)</f>
        <v>6.9659315873749864E-2</v>
      </c>
      <c r="J73">
        <f t="shared" ref="J73:J83" si="40">$B$5+(I73^2/($B$13*$B$12*PI()))</f>
        <v>1.7232030662503155E-2</v>
      </c>
      <c r="K73">
        <f t="shared" ref="K73:K86" si="41">(0.5/$B$8)*$B$10*$B$9*$B$4*J73*H73^2</f>
        <v>247.37582398504154</v>
      </c>
      <c r="L73">
        <f t="shared" ref="L73:L86" si="42">($B$6*$B$15*75)/(H73)</f>
        <v>209.375</v>
      </c>
      <c r="M73">
        <f t="shared" ref="M73:M86" si="43">((L73-K73)*H73)/($B$3)</f>
        <v>-6.8401483173074764</v>
      </c>
      <c r="N73">
        <f t="shared" ref="N73:N83" si="44">M73*$B$16</f>
        <v>-1344.089144350919</v>
      </c>
      <c r="O73" t="e">
        <f t="shared" ref="O73:O86" si="45">H73^2/($B$8*SQRT($D$4^2-1))</f>
        <v>#DIV/0!</v>
      </c>
      <c r="P73" t="e">
        <f t="shared" ref="P73:P83" si="46">SQRT((H73^2/(O73*$B$8))^2+1)</f>
        <v>#DIV/0!</v>
      </c>
      <c r="Q73">
        <f t="shared" si="38"/>
        <v>0</v>
      </c>
      <c r="R73" t="e">
        <f t="shared" ref="R73:R83" si="47">((180*$B$8)/(PI()*H73))*SQRT(P73^2-1)</f>
        <v>#DIV/0!</v>
      </c>
      <c r="T73">
        <f t="shared" si="29"/>
        <v>160</v>
      </c>
      <c r="U73">
        <f t="shared" ref="U73:U83" si="48">(2*$B$3*$B$8*$D$5)/($B$10*$B$9*$B$4*T73^2)</f>
        <v>0.132243857479072</v>
      </c>
      <c r="V73">
        <f t="shared" ref="V73:V83" si="49">$B$5+(U73^2/($B$13*$B$12*PI()))</f>
        <v>1.7836253576058881E-2</v>
      </c>
      <c r="W73">
        <f t="shared" ref="W73:W83" si="50">(0.5/$B$8)*$B$10*$B$9*$B$4*V73*T73^2</f>
        <v>202.3109494391623</v>
      </c>
      <c r="X73">
        <f t="shared" ref="X73:X83" si="51">($B$6*$B$15*75)/(T73)</f>
        <v>235.546875</v>
      </c>
      <c r="Y73">
        <f t="shared" ref="Y73:Y83" si="52">((X73-W73)*T73)/($B$3)</f>
        <v>5.3177480897340317</v>
      </c>
      <c r="Z73">
        <f t="shared" ref="Z73:Z83" si="53">Y73*$B$16</f>
        <v>1044.9374996327372</v>
      </c>
      <c r="AA73">
        <f t="shared" si="30"/>
        <v>1000</v>
      </c>
      <c r="AB73">
        <f t="shared" ref="AB73:AB83" si="54">SQRT((T73^2/(AA73*$B$8))^2+1)</f>
        <v>2.7946231451303825</v>
      </c>
      <c r="AC73">
        <f t="shared" ref="AC73:AC83" si="55">((180*$B$8)/(PI()*T73))*SQRT($D$5^2-1)</f>
        <v>3.9275946848939105</v>
      </c>
      <c r="AD73">
        <f t="shared" ref="AD73:AD83" si="56">((180*$B$8)/(PI()*T73))*SQRT(AB73^2-1)</f>
        <v>9.1673247220931717</v>
      </c>
      <c r="AH73">
        <f t="shared" si="31"/>
        <v>168</v>
      </c>
      <c r="AI73">
        <f t="shared" ref="AI73:AI84" si="57">(2*$B$3*$B$8*$D$6)/($B$10*$B$9*$B$4*AH73^2)</f>
        <v>0.15993210277136446</v>
      </c>
      <c r="AJ73">
        <f t="shared" ref="AJ73:AJ84" si="58">$B$5+(AI73^2/($B$13*$B$12*PI()))</f>
        <v>1.8223089576137247E-2</v>
      </c>
      <c r="AK73">
        <f t="shared" ref="AK73:AK82" si="59">(0.5/$B$8)*$B$10*$B$9*$B$4*AJ73*AH73^2</f>
        <v>227.88532458913005</v>
      </c>
      <c r="AL73">
        <f t="shared" ref="AL73:AL82" si="60">($B$6*$B$15*75)/(AH73)</f>
        <v>224.33035714285714</v>
      </c>
      <c r="AM73">
        <f t="shared" ref="AM73:AM82" si="61">((AL73-AK73)*AH73)/($B$3)</f>
        <v>-0.59723453097384915</v>
      </c>
      <c r="AN73">
        <f t="shared" ref="AN73:AN82" si="62">AM73*$B$16</f>
        <v>-117.35658533636136</v>
      </c>
      <c r="AO73">
        <f t="shared" si="32"/>
        <v>800</v>
      </c>
      <c r="AP73">
        <f t="shared" ref="AP73:AP82" si="63">SQRT((AH73^2/(AO73*$B$8))^2+1)</f>
        <v>3.7327726221310709</v>
      </c>
      <c r="AQ73">
        <f t="shared" ref="AQ73:AQ84" si="64">((180*$B$8)/(PI()*AH73))*SQRT($D$6^2-1)</f>
        <v>5.7948604972369067</v>
      </c>
      <c r="AR73">
        <f t="shared" ref="AR73:AR82" si="65">((180*$B$8)/(PI()*AH73))*SQRT(AP73^2-1)</f>
        <v>12.032113697747288</v>
      </c>
    </row>
    <row r="74" spans="1:44">
      <c r="A74" s="8">
        <v>116</v>
      </c>
      <c r="B74">
        <v>8</v>
      </c>
      <c r="D74" s="11"/>
      <c r="H74">
        <f t="shared" ref="H74:H83" si="66">H73+2</f>
        <v>182</v>
      </c>
      <c r="I74">
        <f t="shared" si="39"/>
        <v>6.8136753843421563E-2</v>
      </c>
      <c r="J74">
        <f t="shared" si="40"/>
        <v>1.7221998402111114E-2</v>
      </c>
      <c r="K74">
        <f t="shared" si="41"/>
        <v>252.75636760869637</v>
      </c>
      <c r="L74">
        <f t="shared" si="42"/>
        <v>207.07417582417582</v>
      </c>
      <c r="M74">
        <f t="shared" si="43"/>
        <v>-8.3141589047827384</v>
      </c>
      <c r="N74">
        <f t="shared" si="44"/>
        <v>-1633.732224789808</v>
      </c>
      <c r="O74" t="e">
        <f t="shared" si="45"/>
        <v>#DIV/0!</v>
      </c>
      <c r="P74" t="e">
        <f t="shared" si="46"/>
        <v>#DIV/0!</v>
      </c>
      <c r="Q74">
        <f t="shared" si="38"/>
        <v>0</v>
      </c>
      <c r="R74" t="e">
        <f t="shared" si="47"/>
        <v>#DIV/0!</v>
      </c>
      <c r="T74">
        <f t="shared" ref="T74:T83" si="67">T73+2</f>
        <v>162</v>
      </c>
      <c r="U74">
        <f t="shared" si="48"/>
        <v>0.12899873309953677</v>
      </c>
      <c r="V74">
        <f t="shared" si="49"/>
        <v>1.7795715577857179E-2</v>
      </c>
      <c r="W74">
        <f t="shared" si="50"/>
        <v>206.92895755951901</v>
      </c>
      <c r="X74">
        <f t="shared" si="51"/>
        <v>232.63888888888889</v>
      </c>
      <c r="Y74">
        <f t="shared" si="52"/>
        <v>4.1650088753579206</v>
      </c>
      <c r="Z74">
        <f t="shared" si="53"/>
        <v>818.42424400783136</v>
      </c>
      <c r="AA74">
        <f t="shared" ref="AA74:AA83" si="68">AA73</f>
        <v>1000</v>
      </c>
      <c r="AB74">
        <f t="shared" si="54"/>
        <v>2.8560203285034902</v>
      </c>
      <c r="AC74">
        <f t="shared" si="55"/>
        <v>3.879105861623616</v>
      </c>
      <c r="AD74">
        <f t="shared" si="56"/>
        <v>9.2819162811193401</v>
      </c>
      <c r="AH74">
        <f t="shared" ref="AH74:AH84" si="69">AH73+2</f>
        <v>170</v>
      </c>
      <c r="AI74">
        <f t="shared" si="57"/>
        <v>0.15619113040204119</v>
      </c>
      <c r="AJ74">
        <f t="shared" si="58"/>
        <v>1.8166540191182145E-2</v>
      </c>
      <c r="AK74">
        <f t="shared" si="59"/>
        <v>232.61935737862785</v>
      </c>
      <c r="AL74">
        <f t="shared" si="60"/>
        <v>221.69117647058823</v>
      </c>
      <c r="AM74">
        <f t="shared" si="61"/>
        <v>-1.8577907543667356</v>
      </c>
      <c r="AN74">
        <f t="shared" si="62"/>
        <v>-365.05588323306353</v>
      </c>
      <c r="AO74">
        <f t="shared" ref="AO74:AO82" si="70">AO73</f>
        <v>800</v>
      </c>
      <c r="AP74">
        <f t="shared" si="63"/>
        <v>3.8158304800693927</v>
      </c>
      <c r="AQ74">
        <f t="shared" si="64"/>
        <v>5.7266856678576499</v>
      </c>
      <c r="AR74">
        <f t="shared" si="65"/>
        <v>12.175353146529995</v>
      </c>
    </row>
    <row r="75" spans="1:44">
      <c r="A75" s="8">
        <v>126</v>
      </c>
      <c r="B75">
        <v>6</v>
      </c>
      <c r="D75" s="11"/>
      <c r="H75">
        <f t="shared" si="66"/>
        <v>184</v>
      </c>
      <c r="I75">
        <f t="shared" si="39"/>
        <v>6.666357024779937E-2</v>
      </c>
      <c r="J75">
        <f t="shared" si="40"/>
        <v>1.7212502531666864E-2</v>
      </c>
      <c r="K75">
        <f t="shared" si="41"/>
        <v>258.19953038346409</v>
      </c>
      <c r="L75">
        <f t="shared" si="42"/>
        <v>204.8233695652174</v>
      </c>
      <c r="M75">
        <f t="shared" si="43"/>
        <v>-9.8212135905573898</v>
      </c>
      <c r="N75">
        <f t="shared" si="44"/>
        <v>-1929.8684705445271</v>
      </c>
      <c r="O75" t="e">
        <f t="shared" si="45"/>
        <v>#DIV/0!</v>
      </c>
      <c r="P75" t="e">
        <f t="shared" si="46"/>
        <v>#DIV/0!</v>
      </c>
      <c r="Q75">
        <f t="shared" si="38"/>
        <v>0</v>
      </c>
      <c r="R75" t="e">
        <f t="shared" si="47"/>
        <v>#DIV/0!</v>
      </c>
      <c r="T75">
        <f t="shared" si="67"/>
        <v>164</v>
      </c>
      <c r="U75">
        <f t="shared" si="48"/>
        <v>0.12587160735664199</v>
      </c>
      <c r="V75">
        <f t="shared" si="49"/>
        <v>1.7757604466446641E-2</v>
      </c>
      <c r="W75">
        <f t="shared" si="50"/>
        <v>211.61568727885486</v>
      </c>
      <c r="X75">
        <f t="shared" si="51"/>
        <v>229.80182926829269</v>
      </c>
      <c r="Y75">
        <f t="shared" si="52"/>
        <v>2.9825272862678038</v>
      </c>
      <c r="Z75">
        <f t="shared" si="53"/>
        <v>586.06661175162344</v>
      </c>
      <c r="AA75">
        <f t="shared" si="68"/>
        <v>1000</v>
      </c>
      <c r="AB75">
        <f t="shared" si="54"/>
        <v>2.9183686967418585</v>
      </c>
      <c r="AC75">
        <f t="shared" si="55"/>
        <v>3.8317996925794255</v>
      </c>
      <c r="AD75">
        <f t="shared" si="56"/>
        <v>9.3965078401455049</v>
      </c>
      <c r="AH75">
        <f t="shared" si="69"/>
        <v>172</v>
      </c>
      <c r="AI75">
        <f t="shared" si="57"/>
        <v>0.15257989685705078</v>
      </c>
      <c r="AJ75">
        <f t="shared" si="58"/>
        <v>1.8113221548053827E-2</v>
      </c>
      <c r="AK75">
        <f t="shared" si="59"/>
        <v>237.4260557408</v>
      </c>
      <c r="AL75">
        <f t="shared" si="60"/>
        <v>219.11337209302326</v>
      </c>
      <c r="AM75">
        <f t="shared" si="61"/>
        <v>-3.1497815874175985</v>
      </c>
      <c r="AN75">
        <f t="shared" si="62"/>
        <v>-618.9320819275581</v>
      </c>
      <c r="AO75">
        <f t="shared" si="70"/>
        <v>800</v>
      </c>
      <c r="AP75">
        <f t="shared" si="63"/>
        <v>3.9000072191510955</v>
      </c>
      <c r="AQ75">
        <f t="shared" si="64"/>
        <v>5.6600962996267477</v>
      </c>
      <c r="AR75">
        <f t="shared" si="65"/>
        <v>12.318592595312701</v>
      </c>
    </row>
    <row r="76" spans="1:44">
      <c r="A76" s="8">
        <v>130</v>
      </c>
      <c r="B76">
        <v>4</v>
      </c>
      <c r="D76" s="11"/>
      <c r="H76">
        <f t="shared" si="66"/>
        <v>186</v>
      </c>
      <c r="I76">
        <f t="shared" si="39"/>
        <v>6.5237652743366153E-2</v>
      </c>
      <c r="J76">
        <f t="shared" si="40"/>
        <v>1.7203509001557687E-2</v>
      </c>
      <c r="K76">
        <f t="shared" si="41"/>
        <v>263.70521130233442</v>
      </c>
      <c r="L76">
        <f t="shared" si="42"/>
        <v>202.62096774193549</v>
      </c>
      <c r="M76">
        <f t="shared" si="43"/>
        <v>-11.361669302234201</v>
      </c>
      <c r="N76">
        <f t="shared" si="44"/>
        <v>-2232.5680178890207</v>
      </c>
      <c r="O76" t="e">
        <f t="shared" si="45"/>
        <v>#DIV/0!</v>
      </c>
      <c r="P76" t="e">
        <f t="shared" si="46"/>
        <v>#DIV/0!</v>
      </c>
      <c r="Q76">
        <f t="shared" si="38"/>
        <v>0</v>
      </c>
      <c r="R76" t="e">
        <f t="shared" si="47"/>
        <v>#DIV/0!</v>
      </c>
      <c r="T76">
        <f t="shared" si="67"/>
        <v>166</v>
      </c>
      <c r="U76">
        <f t="shared" si="48"/>
        <v>0.1228568279672029</v>
      </c>
      <c r="V76">
        <f t="shared" si="49"/>
        <v>1.7721747962288252E-2</v>
      </c>
      <c r="W76">
        <f t="shared" si="50"/>
        <v>216.37073317999642</v>
      </c>
      <c r="X76">
        <f t="shared" si="51"/>
        <v>227.03313253012047</v>
      </c>
      <c r="Y76">
        <f t="shared" si="52"/>
        <v>1.7699582921205921</v>
      </c>
      <c r="Z76">
        <f t="shared" si="53"/>
        <v>347.79680440169636</v>
      </c>
      <c r="AA76">
        <f t="shared" si="68"/>
        <v>1000</v>
      </c>
      <c r="AB76">
        <f t="shared" si="54"/>
        <v>2.9816631136669218</v>
      </c>
      <c r="AC76">
        <f t="shared" si="55"/>
        <v>3.785633431223046</v>
      </c>
      <c r="AD76">
        <f t="shared" si="56"/>
        <v>9.5110993991716644</v>
      </c>
      <c r="AH76">
        <f t="shared" si="69"/>
        <v>174</v>
      </c>
      <c r="AI76">
        <f t="shared" si="57"/>
        <v>0.14909247154904845</v>
      </c>
      <c r="AJ76">
        <f t="shared" si="58"/>
        <v>1.8062914664058863E-2</v>
      </c>
      <c r="AK76">
        <f t="shared" si="59"/>
        <v>242.30485250379022</v>
      </c>
      <c r="AL76">
        <f t="shared" si="60"/>
        <v>216.59482758620689</v>
      </c>
      <c r="AM76">
        <f t="shared" si="61"/>
        <v>-4.4735443356594988</v>
      </c>
      <c r="AN76">
        <f t="shared" si="62"/>
        <v>-879.05146195709153</v>
      </c>
      <c r="AO76">
        <f t="shared" si="70"/>
        <v>800</v>
      </c>
      <c r="AP76">
        <f t="shared" si="63"/>
        <v>3.9852988197799104</v>
      </c>
      <c r="AQ76">
        <f t="shared" si="64"/>
        <v>5.5950377214701179</v>
      </c>
      <c r="AR76">
        <f t="shared" si="65"/>
        <v>12.461832044095408</v>
      </c>
    </row>
    <row r="77" spans="1:44">
      <c r="A77" s="8">
        <v>135</v>
      </c>
      <c r="B77">
        <v>0</v>
      </c>
      <c r="D77" s="11"/>
      <c r="H77">
        <f t="shared" si="66"/>
        <v>188</v>
      </c>
      <c r="I77">
        <f t="shared" si="39"/>
        <v>6.3857000744383649E-2</v>
      </c>
      <c r="J77">
        <f t="shared" si="40"/>
        <v>1.7194986257385882E-2</v>
      </c>
      <c r="K77">
        <f t="shared" si="41"/>
        <v>269.27331470227591</v>
      </c>
      <c r="L77">
        <f t="shared" si="42"/>
        <v>200.46542553191489</v>
      </c>
      <c r="M77">
        <f t="shared" si="43"/>
        <v>-12.935883164027873</v>
      </c>
      <c r="N77">
        <f t="shared" si="44"/>
        <v>-2541.9010417314771</v>
      </c>
      <c r="O77" t="e">
        <f t="shared" si="45"/>
        <v>#DIV/0!</v>
      </c>
      <c r="P77" t="e">
        <f t="shared" si="46"/>
        <v>#DIV/0!</v>
      </c>
      <c r="Q77">
        <f t="shared" si="38"/>
        <v>0</v>
      </c>
      <c r="R77" t="e">
        <f t="shared" si="47"/>
        <v>#DIV/0!</v>
      </c>
      <c r="T77">
        <f t="shared" si="67"/>
        <v>168</v>
      </c>
      <c r="U77">
        <f t="shared" si="48"/>
        <v>0.11994907707852336</v>
      </c>
      <c r="V77">
        <f t="shared" si="49"/>
        <v>1.7687987886577203E-2</v>
      </c>
      <c r="W77">
        <f t="shared" si="50"/>
        <v>221.1937138332205</v>
      </c>
      <c r="X77">
        <f t="shared" si="51"/>
        <v>224.33035714285714</v>
      </c>
      <c r="Y77">
        <f t="shared" si="52"/>
        <v>0.52695607601895544</v>
      </c>
      <c r="Z77">
        <f t="shared" si="53"/>
        <v>103.54686893772474</v>
      </c>
      <c r="AA77">
        <f t="shared" si="68"/>
        <v>1000</v>
      </c>
      <c r="AB77">
        <f t="shared" si="54"/>
        <v>3.0458986403129065</v>
      </c>
      <c r="AC77">
        <f t="shared" si="55"/>
        <v>3.7405663665656292</v>
      </c>
      <c r="AD77">
        <f t="shared" si="56"/>
        <v>9.6256909581978309</v>
      </c>
      <c r="AH77">
        <f t="shared" si="69"/>
        <v>176</v>
      </c>
      <c r="AI77">
        <f t="shared" si="57"/>
        <v>0.1457232589301069</v>
      </c>
      <c r="AJ77">
        <f t="shared" si="58"/>
        <v>1.8015417679191775E-2</v>
      </c>
      <c r="AK77">
        <f t="shared" si="59"/>
        <v>247.25521253724489</v>
      </c>
      <c r="AL77">
        <f t="shared" si="60"/>
        <v>214.13352272727272</v>
      </c>
      <c r="AM77">
        <f t="shared" si="61"/>
        <v>-5.8294174065551019</v>
      </c>
      <c r="AN77">
        <f t="shared" si="62"/>
        <v>-1145.4805203880776</v>
      </c>
      <c r="AO77">
        <f t="shared" si="70"/>
        <v>800</v>
      </c>
      <c r="AP77">
        <f t="shared" si="63"/>
        <v>4.0717014467927806</v>
      </c>
      <c r="AQ77">
        <f t="shared" si="64"/>
        <v>5.5314577473625031</v>
      </c>
      <c r="AR77">
        <f t="shared" si="65"/>
        <v>12.605071492878112</v>
      </c>
    </row>
    <row r="78" spans="1:44" ht="15.75" thickBot="1">
      <c r="A78" s="8"/>
      <c r="D78" s="11"/>
      <c r="H78">
        <f t="shared" si="66"/>
        <v>190</v>
      </c>
      <c r="I78">
        <f t="shared" si="39"/>
        <v>6.2519718401925092E-2</v>
      </c>
      <c r="J78">
        <f t="shared" si="40"/>
        <v>1.7186905033163734E-2</v>
      </c>
      <c r="K78">
        <f t="shared" si="41"/>
        <v>274.90374992851088</v>
      </c>
      <c r="L78">
        <f t="shared" si="42"/>
        <v>198.35526315789474</v>
      </c>
      <c r="M78">
        <f t="shared" si="43"/>
        <v>-14.544212486417065</v>
      </c>
      <c r="N78">
        <f t="shared" si="44"/>
        <v>-2857.9377535809531</v>
      </c>
      <c r="O78" t="e">
        <f t="shared" si="45"/>
        <v>#DIV/0!</v>
      </c>
      <c r="P78" t="e">
        <f t="shared" si="46"/>
        <v>#DIV/0!</v>
      </c>
      <c r="Q78">
        <f t="shared" si="38"/>
        <v>0</v>
      </c>
      <c r="R78" t="e">
        <f t="shared" si="47"/>
        <v>#DIV/0!</v>
      </c>
      <c r="T78">
        <f t="shared" si="67"/>
        <v>170</v>
      </c>
      <c r="U78">
        <f t="shared" si="48"/>
        <v>0.11714334780153091</v>
      </c>
      <c r="V78">
        <f t="shared" si="49"/>
        <v>1.7656178857539957E-2</v>
      </c>
      <c r="W78">
        <f t="shared" si="50"/>
        <v>226.08427011306418</v>
      </c>
      <c r="X78">
        <f t="shared" si="51"/>
        <v>221.69117647058823</v>
      </c>
      <c r="Y78">
        <f t="shared" si="52"/>
        <v>-0.74682591922091091</v>
      </c>
      <c r="Z78">
        <f t="shared" si="53"/>
        <v>-146.75129312690899</v>
      </c>
      <c r="AA78">
        <f t="shared" si="68"/>
        <v>1000</v>
      </c>
      <c r="AB78">
        <f t="shared" si="54"/>
        <v>3.1110705298467654</v>
      </c>
      <c r="AC78">
        <f t="shared" si="55"/>
        <v>3.6965597034295627</v>
      </c>
      <c r="AD78">
        <f t="shared" si="56"/>
        <v>9.7402825172239957</v>
      </c>
      <c r="AH78">
        <f t="shared" si="69"/>
        <v>178</v>
      </c>
      <c r="AI78">
        <f t="shared" si="57"/>
        <v>0.14246697603266603</v>
      </c>
      <c r="AJ78">
        <f t="shared" si="58"/>
        <v>1.7970544342962302E-2</v>
      </c>
      <c r="AK78">
        <f t="shared" si="59"/>
        <v>252.27663060444075</v>
      </c>
      <c r="AL78">
        <f t="shared" si="60"/>
        <v>211.72752808988764</v>
      </c>
      <c r="AM78">
        <f t="shared" si="61"/>
        <v>-7.217740247590454</v>
      </c>
      <c r="AN78">
        <f t="shared" si="62"/>
        <v>-1418.2859586515242</v>
      </c>
      <c r="AO78">
        <f t="shared" si="70"/>
        <v>800</v>
      </c>
      <c r="AP78">
        <f t="shared" si="63"/>
        <v>4.1592114408124843</v>
      </c>
      <c r="AQ78">
        <f t="shared" si="64"/>
        <v>5.4693065367179798</v>
      </c>
      <c r="AR78">
        <f t="shared" si="65"/>
        <v>12.748310941660819</v>
      </c>
    </row>
    <row r="79" spans="1:44" ht="15.75" thickBot="1">
      <c r="A79" s="31" t="s">
        <v>52</v>
      </c>
      <c r="B79" s="33"/>
      <c r="D79" s="11"/>
      <c r="H79">
        <f t="shared" si="66"/>
        <v>192</v>
      </c>
      <c r="I79">
        <f t="shared" si="39"/>
        <v>6.1224008092162968E-2</v>
      </c>
      <c r="J79">
        <f t="shared" si="40"/>
        <v>1.7179238163592868E-2</v>
      </c>
      <c r="K79">
        <f t="shared" si="41"/>
        <v>280.59643102314158</v>
      </c>
      <c r="L79">
        <f t="shared" si="42"/>
        <v>196.2890625</v>
      </c>
      <c r="M79">
        <f t="shared" si="43"/>
        <v>-16.187014756443183</v>
      </c>
      <c r="N79">
        <f t="shared" si="44"/>
        <v>-3180.7483996410856</v>
      </c>
      <c r="O79" t="e">
        <f t="shared" si="45"/>
        <v>#DIV/0!</v>
      </c>
      <c r="P79" t="e">
        <f t="shared" si="46"/>
        <v>#DIV/0!</v>
      </c>
      <c r="Q79">
        <f t="shared" si="38"/>
        <v>0</v>
      </c>
      <c r="R79" t="e">
        <f t="shared" si="47"/>
        <v>#DIV/0!</v>
      </c>
      <c r="T79">
        <f t="shared" si="67"/>
        <v>172</v>
      </c>
      <c r="U79">
        <f t="shared" si="48"/>
        <v>0.1144349226427881</v>
      </c>
      <c r="V79">
        <f t="shared" si="49"/>
        <v>1.7626187120780276E-2</v>
      </c>
      <c r="W79">
        <f t="shared" si="50"/>
        <v>231.042063651333</v>
      </c>
      <c r="X79">
        <f t="shared" si="51"/>
        <v>219.11337209302326</v>
      </c>
      <c r="Y79">
        <f t="shared" si="52"/>
        <v>-2.0517349480292748</v>
      </c>
      <c r="Z79">
        <f t="shared" si="53"/>
        <v>-403.16591728775251</v>
      </c>
      <c r="AA79">
        <f t="shared" si="68"/>
        <v>1000</v>
      </c>
      <c r="AB79">
        <f t="shared" si="54"/>
        <v>3.1771742221722157</v>
      </c>
      <c r="AC79">
        <f t="shared" si="55"/>
        <v>3.6535764510641036</v>
      </c>
      <c r="AD79">
        <f t="shared" si="56"/>
        <v>9.8548740762501623</v>
      </c>
      <c r="AH79">
        <f t="shared" si="69"/>
        <v>180</v>
      </c>
      <c r="AI79">
        <f t="shared" si="57"/>
        <v>0.13931863174749973</v>
      </c>
      <c r="AJ79">
        <f t="shared" si="58"/>
        <v>1.7928122650012611E-2</v>
      </c>
      <c r="AK79">
        <f t="shared" si="59"/>
        <v>257.36862938053304</v>
      </c>
      <c r="AL79">
        <f t="shared" si="60"/>
        <v>209.375</v>
      </c>
      <c r="AM79">
        <f t="shared" si="61"/>
        <v>-8.6388532884959464</v>
      </c>
      <c r="AN79">
        <f t="shared" si="62"/>
        <v>-1697.5346711894535</v>
      </c>
      <c r="AO79">
        <f t="shared" si="70"/>
        <v>800</v>
      </c>
      <c r="AP79">
        <f t="shared" si="63"/>
        <v>4.2478253099259904</v>
      </c>
      <c r="AQ79">
        <f t="shared" si="64"/>
        <v>5.4085364640877804</v>
      </c>
      <c r="AR79">
        <f t="shared" si="65"/>
        <v>12.891550390443523</v>
      </c>
    </row>
    <row r="80" spans="1:44">
      <c r="A80" s="8" t="s">
        <v>19</v>
      </c>
      <c r="B80" s="11" t="s">
        <v>51</v>
      </c>
      <c r="C80" s="36" t="s">
        <v>53</v>
      </c>
      <c r="D80" s="35"/>
      <c r="H80">
        <f t="shared" si="66"/>
        <v>194</v>
      </c>
      <c r="I80">
        <f t="shared" si="39"/>
        <v>5.9968164372130289E-2</v>
      </c>
      <c r="J80">
        <f t="shared" si="40"/>
        <v>1.7171960413491123E-2</v>
      </c>
      <c r="K80">
        <f t="shared" si="41"/>
        <v>286.35127643612935</v>
      </c>
      <c r="L80">
        <f t="shared" si="42"/>
        <v>194.26546391752578</v>
      </c>
      <c r="M80">
        <f t="shared" si="43"/>
        <v>-17.864647628609095</v>
      </c>
      <c r="N80">
        <f t="shared" si="44"/>
        <v>-3510.4032590216871</v>
      </c>
      <c r="O80" t="e">
        <f t="shared" si="45"/>
        <v>#DIV/0!</v>
      </c>
      <c r="P80" t="e">
        <f t="shared" si="46"/>
        <v>#DIV/0!</v>
      </c>
      <c r="Q80">
        <f t="shared" si="38"/>
        <v>0</v>
      </c>
      <c r="R80" t="e">
        <f t="shared" si="47"/>
        <v>#DIV/0!</v>
      </c>
      <c r="T80">
        <f t="shared" si="67"/>
        <v>174</v>
      </c>
      <c r="U80">
        <f t="shared" si="48"/>
        <v>0.11181935366178634</v>
      </c>
      <c r="V80">
        <f t="shared" si="49"/>
        <v>1.7597889498533109E-2</v>
      </c>
      <c r="W80">
        <f t="shared" si="50"/>
        <v>236.0667754138579</v>
      </c>
      <c r="X80">
        <f t="shared" si="51"/>
        <v>216.59482758620689</v>
      </c>
      <c r="Y80">
        <f t="shared" si="52"/>
        <v>-3.3881189220112753</v>
      </c>
      <c r="Z80">
        <f t="shared" si="53"/>
        <v>-665.7653681752156</v>
      </c>
      <c r="AA80">
        <f t="shared" si="68"/>
        <v>1000</v>
      </c>
      <c r="AB80">
        <f t="shared" si="54"/>
        <v>3.2442053383041363</v>
      </c>
      <c r="AC80">
        <f t="shared" si="55"/>
        <v>3.6115813194426769</v>
      </c>
      <c r="AD80">
        <f t="shared" si="56"/>
        <v>9.9694656352763253</v>
      </c>
      <c r="AH80">
        <f t="shared" si="69"/>
        <v>182</v>
      </c>
      <c r="AI80">
        <f t="shared" si="57"/>
        <v>0.13627350768684313</v>
      </c>
      <c r="AJ80">
        <f t="shared" si="58"/>
        <v>1.7887993608444452E-2</v>
      </c>
      <c r="AK80">
        <f t="shared" si="59"/>
        <v>262.5307576224003</v>
      </c>
      <c r="AL80">
        <f t="shared" si="60"/>
        <v>207.07417582417582</v>
      </c>
      <c r="AM80">
        <f t="shared" si="61"/>
        <v>-10.093097887276855</v>
      </c>
      <c r="AN80">
        <f t="shared" si="62"/>
        <v>-1983.293734849902</v>
      </c>
      <c r="AO80">
        <f t="shared" si="70"/>
        <v>800</v>
      </c>
      <c r="AP80">
        <f t="shared" si="63"/>
        <v>4.3375397216929059</v>
      </c>
      <c r="AQ80">
        <f t="shared" si="64"/>
        <v>5.3491019974494538</v>
      </c>
      <c r="AR80">
        <f t="shared" si="65"/>
        <v>13.034789839226232</v>
      </c>
    </row>
    <row r="81" spans="1:44">
      <c r="A81" s="8">
        <f>A70</f>
        <v>40</v>
      </c>
      <c r="B81" s="11">
        <f t="shared" ref="B81:B86" si="71">$D$81*A81^2+$D$82*A81+$D$83</f>
        <v>4.607999999999997</v>
      </c>
      <c r="C81" t="s">
        <v>54</v>
      </c>
      <c r="D81" s="11">
        <f>-0.0035</f>
        <v>-3.5000000000000001E-3</v>
      </c>
      <c r="H81">
        <f t="shared" si="66"/>
        <v>196</v>
      </c>
      <c r="I81">
        <f t="shared" si="39"/>
        <v>5.8750568364991033E-2</v>
      </c>
      <c r="J81">
        <f t="shared" si="40"/>
        <v>1.7165048322644094E-2</v>
      </c>
      <c r="K81">
        <f t="shared" si="41"/>
        <v>292.16820875681265</v>
      </c>
      <c r="L81">
        <f t="shared" si="42"/>
        <v>192.28316326530611</v>
      </c>
      <c r="M81">
        <f t="shared" si="43"/>
        <v>-19.577468916335281</v>
      </c>
      <c r="N81">
        <f t="shared" si="44"/>
        <v>-3846.9726420598827</v>
      </c>
      <c r="O81" t="e">
        <f t="shared" si="45"/>
        <v>#DIV/0!</v>
      </c>
      <c r="P81" t="e">
        <f t="shared" si="46"/>
        <v>#DIV/0!</v>
      </c>
      <c r="Q81">
        <f t="shared" si="38"/>
        <v>0</v>
      </c>
      <c r="R81" t="e">
        <f t="shared" si="47"/>
        <v>#DIV/0!</v>
      </c>
      <c r="T81">
        <f t="shared" si="67"/>
        <v>176</v>
      </c>
      <c r="U81">
        <f t="shared" si="48"/>
        <v>0.10929244419758016</v>
      </c>
      <c r="V81">
        <f t="shared" si="49"/>
        <v>1.7571172444545372E-2</v>
      </c>
      <c r="W81">
        <f t="shared" si="50"/>
        <v>241.15810438981489</v>
      </c>
      <c r="X81">
        <f t="shared" si="51"/>
        <v>214.13352272727272</v>
      </c>
      <c r="Y81">
        <f t="shared" si="52"/>
        <v>-4.7563263726074227</v>
      </c>
      <c r="Z81">
        <f t="shared" si="53"/>
        <v>-934.61813221735861</v>
      </c>
      <c r="AA81">
        <f t="shared" si="68"/>
        <v>1000</v>
      </c>
      <c r="AB81">
        <f t="shared" si="54"/>
        <v>3.312159674587146</v>
      </c>
      <c r="AC81">
        <f t="shared" si="55"/>
        <v>3.5705406226308285</v>
      </c>
      <c r="AD81">
        <f t="shared" si="56"/>
        <v>10.084057194302488</v>
      </c>
      <c r="AH81">
        <f t="shared" si="69"/>
        <v>184</v>
      </c>
      <c r="AI81">
        <f t="shared" si="57"/>
        <v>0.13332714049559874</v>
      </c>
      <c r="AJ81">
        <f t="shared" si="58"/>
        <v>1.7850010126667457E-2</v>
      </c>
      <c r="AK81">
        <f t="shared" si="59"/>
        <v>267.76258847697557</v>
      </c>
      <c r="AL81">
        <f t="shared" si="60"/>
        <v>204.8233695652174</v>
      </c>
      <c r="AM81">
        <f t="shared" si="61"/>
        <v>-11.580816279763502</v>
      </c>
      <c r="AN81">
        <f t="shared" si="62"/>
        <v>-2275.6303989735279</v>
      </c>
      <c r="AO81">
        <f t="shared" si="70"/>
        <v>800</v>
      </c>
      <c r="AP81">
        <f t="shared" si="63"/>
        <v>4.4283514954847556</v>
      </c>
      <c r="AQ81">
        <f t="shared" si="64"/>
        <v>5.2909595844336987</v>
      </c>
      <c r="AR81">
        <f t="shared" si="65"/>
        <v>13.178029288008936</v>
      </c>
    </row>
    <row r="82" spans="1:44">
      <c r="A82" s="8">
        <f t="shared" ref="A82:A87" si="72">A71</f>
        <v>50</v>
      </c>
      <c r="B82" s="11">
        <f t="shared" si="71"/>
        <v>7.509999999999998</v>
      </c>
      <c r="C82" t="s">
        <v>37</v>
      </c>
      <c r="D82" s="11">
        <v>0.60519999999999996</v>
      </c>
      <c r="H82">
        <f t="shared" si="66"/>
        <v>198</v>
      </c>
      <c r="I82">
        <f t="shared" si="39"/>
        <v>5.7569682540289137E-2</v>
      </c>
      <c r="J82">
        <f t="shared" si="40"/>
        <v>1.7158480064546927E-2</v>
      </c>
      <c r="K82">
        <f t="shared" si="41"/>
        <v>298.0471544643114</v>
      </c>
      <c r="L82">
        <f t="shared" si="42"/>
        <v>190.34090909090909</v>
      </c>
      <c r="M82">
        <f t="shared" si="43"/>
        <v>-21.325836583933658</v>
      </c>
      <c r="N82">
        <f t="shared" si="44"/>
        <v>-4190.5268887429638</v>
      </c>
      <c r="O82" t="e">
        <f t="shared" si="45"/>
        <v>#DIV/0!</v>
      </c>
      <c r="P82" t="e">
        <f t="shared" si="46"/>
        <v>#DIV/0!</v>
      </c>
      <c r="Q82">
        <f t="shared" si="38"/>
        <v>0</v>
      </c>
      <c r="R82" t="e">
        <f t="shared" si="47"/>
        <v>#DIV/0!</v>
      </c>
      <c r="T82">
        <f t="shared" si="67"/>
        <v>178</v>
      </c>
      <c r="U82">
        <f t="shared" si="48"/>
        <v>0.10685023202449952</v>
      </c>
      <c r="V82">
        <f t="shared" si="49"/>
        <v>1.7545931192916295E-2</v>
      </c>
      <c r="W82">
        <f t="shared" si="50"/>
        <v>246.31576638354721</v>
      </c>
      <c r="X82">
        <f t="shared" si="51"/>
        <v>211.72752808988764</v>
      </c>
      <c r="Y82">
        <f t="shared" si="52"/>
        <v>-6.1567064162714038</v>
      </c>
      <c r="Z82">
        <f t="shared" si="53"/>
        <v>-1209.792810797331</v>
      </c>
      <c r="AA82">
        <f t="shared" si="68"/>
        <v>1000</v>
      </c>
      <c r="AB82">
        <f t="shared" si="54"/>
        <v>3.3810331968211571</v>
      </c>
      <c r="AC82">
        <f t="shared" si="55"/>
        <v>3.5304221886686835</v>
      </c>
      <c r="AD82">
        <f t="shared" si="56"/>
        <v>10.198648753328651</v>
      </c>
      <c r="AH82">
        <f t="shared" si="69"/>
        <v>186</v>
      </c>
      <c r="AI82">
        <f t="shared" si="57"/>
        <v>0.13047530548673231</v>
      </c>
      <c r="AJ82">
        <f t="shared" si="58"/>
        <v>1.7814036006230737E-2</v>
      </c>
      <c r="AK82">
        <f t="shared" si="59"/>
        <v>273.0637179162182</v>
      </c>
      <c r="AL82">
        <f t="shared" si="60"/>
        <v>202.62096774193549</v>
      </c>
      <c r="AM82">
        <f t="shared" si="61"/>
        <v>-13.102351532416584</v>
      </c>
      <c r="AN82">
        <f t="shared" si="62"/>
        <v>-2574.612076119859</v>
      </c>
      <c r="AO82">
        <f t="shared" si="70"/>
        <v>800</v>
      </c>
      <c r="AP82">
        <f t="shared" si="63"/>
        <v>4.5202575951529766</v>
      </c>
      <c r="AQ82">
        <f t="shared" si="64"/>
        <v>5.234067545891401</v>
      </c>
      <c r="AR82">
        <f t="shared" si="65"/>
        <v>13.321268736791644</v>
      </c>
    </row>
    <row r="83" spans="1:44" ht="15.75" thickBot="1">
      <c r="A83" s="8">
        <f t="shared" si="72"/>
        <v>76</v>
      </c>
      <c r="B83" s="11">
        <f t="shared" si="71"/>
        <v>11.779199999999996</v>
      </c>
      <c r="C83" s="25" t="s">
        <v>55</v>
      </c>
      <c r="D83" s="20">
        <v>-14</v>
      </c>
      <c r="H83">
        <f t="shared" si="66"/>
        <v>200</v>
      </c>
      <c r="I83">
        <f t="shared" si="39"/>
        <v>5.6424045857737387E-2</v>
      </c>
      <c r="J83">
        <f t="shared" si="40"/>
        <v>1.7152235317668321E-2</v>
      </c>
      <c r="K83">
        <f t="shared" si="41"/>
        <v>303.98804369531484</v>
      </c>
      <c r="L83">
        <f t="shared" si="42"/>
        <v>188.4375</v>
      </c>
      <c r="M83">
        <f t="shared" si="43"/>
        <v>-23.110108739062969</v>
      </c>
      <c r="N83">
        <f t="shared" si="44"/>
        <v>-4541.1363672258731</v>
      </c>
      <c r="O83" t="e">
        <f t="shared" si="45"/>
        <v>#DIV/0!</v>
      </c>
      <c r="P83" t="e">
        <f t="shared" si="46"/>
        <v>#DIV/0!</v>
      </c>
      <c r="Q83">
        <f t="shared" si="38"/>
        <v>0</v>
      </c>
      <c r="R83" t="e">
        <f t="shared" si="47"/>
        <v>#DIV/0!</v>
      </c>
      <c r="T83">
        <f t="shared" si="67"/>
        <v>180</v>
      </c>
      <c r="U83">
        <f t="shared" si="48"/>
        <v>0.10448897381062479</v>
      </c>
      <c r="V83">
        <f t="shared" si="49"/>
        <v>1.7522068990632095E-2</v>
      </c>
      <c r="W83">
        <f t="shared" si="50"/>
        <v>251.5394928998297</v>
      </c>
      <c r="X83">
        <f t="shared" si="51"/>
        <v>209.375</v>
      </c>
      <c r="Y83">
        <f t="shared" si="52"/>
        <v>-7.5896087219693458</v>
      </c>
      <c r="Z83">
        <f t="shared" si="53"/>
        <v>-1491.3581138669765</v>
      </c>
      <c r="AA83">
        <f t="shared" si="68"/>
        <v>1000</v>
      </c>
      <c r="AB83">
        <f t="shared" si="54"/>
        <v>3.4508220343469787</v>
      </c>
      <c r="AC83">
        <f t="shared" si="55"/>
        <v>3.4911952754612541</v>
      </c>
      <c r="AD83">
        <f t="shared" si="56"/>
        <v>10.31324031235482</v>
      </c>
      <c r="AH83">
        <f t="shared" si="69"/>
        <v>188</v>
      </c>
      <c r="AI83">
        <f t="shared" si="57"/>
        <v>0.1277140014887673</v>
      </c>
      <c r="AJ83">
        <f t="shared" si="58"/>
        <v>1.7779945029543522E-2</v>
      </c>
      <c r="AK83">
        <f>U82</f>
        <v>0.10685023202449952</v>
      </c>
      <c r="AL83">
        <f t="shared" ref="AL83:AL84" si="73">(2*$B$3*$B$8*$D$6)/($B$10*$B$9*$B$4*AK83^2)</f>
        <v>395369.59848292114</v>
      </c>
      <c r="AM83">
        <f t="shared" ref="AM83:AM84" si="74">$B$5+(AL83^2/($B$13*$B$12*PI()))</f>
        <v>7474695641.2264376</v>
      </c>
      <c r="AN83">
        <f t="shared" ref="AN83:AN84" si="75">(0.5/$B$8)*$B$10*$B$9*$B$4*AM83*AK83^2</f>
        <v>37811180.575884983</v>
      </c>
      <c r="AO83">
        <f t="shared" ref="AO83:AO84" si="76">($B$6*$B$15*75)/(AK83)</f>
        <v>352713.31925005734</v>
      </c>
      <c r="AP83">
        <f t="shared" ref="AP83:AP84" si="77">((AO83-AN83)*AK83)/($B$3)</f>
        <v>-4002.4459176535602</v>
      </c>
      <c r="AQ83">
        <f t="shared" si="64"/>
        <v>5.1783859762542575</v>
      </c>
      <c r="AR83">
        <f t="shared" ref="AR83:AR84" si="78">AK83^2/($B$8*SQRT($D$5^2-1))</f>
        <v>1.040942942970311E-3</v>
      </c>
    </row>
    <row r="84" spans="1:44">
      <c r="A84" s="8">
        <f t="shared" si="72"/>
        <v>98</v>
      </c>
      <c r="B84" s="11">
        <f t="shared" si="71"/>
        <v>11.695599999999999</v>
      </c>
      <c r="D84" s="11"/>
      <c r="AH84">
        <f t="shared" si="69"/>
        <v>190</v>
      </c>
      <c r="AI84">
        <f t="shared" si="57"/>
        <v>0.12503943680385018</v>
      </c>
      <c r="AJ84">
        <f t="shared" si="58"/>
        <v>1.7747620132654938E-2</v>
      </c>
      <c r="AK84">
        <f>U83</f>
        <v>0.10448897381062479</v>
      </c>
      <c r="AL84">
        <f t="shared" si="73"/>
        <v>413440.75288073387</v>
      </c>
      <c r="AM84">
        <f t="shared" si="74"/>
        <v>8173602926.5150166</v>
      </c>
      <c r="AN84">
        <f t="shared" si="75"/>
        <v>39539415.839216374</v>
      </c>
      <c r="AO84">
        <f t="shared" si="76"/>
        <v>360683.99014334858</v>
      </c>
      <c r="AP84">
        <f t="shared" si="77"/>
        <v>-4093.7454861112824</v>
      </c>
      <c r="AQ84">
        <f t="shared" si="64"/>
        <v>5.1238766501884232</v>
      </c>
      <c r="AR84">
        <f t="shared" si="78"/>
        <v>9.9544418526280321E-4</v>
      </c>
    </row>
    <row r="85" spans="1:44">
      <c r="A85" s="8">
        <f t="shared" si="72"/>
        <v>116</v>
      </c>
      <c r="B85" s="11">
        <f t="shared" si="71"/>
        <v>9.1071999999999917</v>
      </c>
      <c r="D85" s="11"/>
    </row>
    <row r="86" spans="1:44">
      <c r="A86" s="8">
        <f t="shared" si="72"/>
        <v>126</v>
      </c>
      <c r="B86" s="11">
        <f t="shared" si="71"/>
        <v>6.6891999999999996</v>
      </c>
      <c r="D86" s="11"/>
    </row>
    <row r="87" spans="1:44" ht="15.75" thickBot="1">
      <c r="A87" s="19">
        <f t="shared" si="72"/>
        <v>130</v>
      </c>
      <c r="B87" s="20">
        <v>0</v>
      </c>
      <c r="D87" s="11"/>
    </row>
    <row r="88" spans="1:44" ht="15.75" thickBot="1">
      <c r="A88" s="8"/>
      <c r="D88" s="11"/>
      <c r="AH88" s="12" t="s">
        <v>57</v>
      </c>
      <c r="AI88" s="13"/>
      <c r="AJ88" s="13"/>
      <c r="AK88" s="13"/>
      <c r="AL88" s="13"/>
      <c r="AM88" s="13"/>
      <c r="AN88" s="13"/>
      <c r="AO88" s="13"/>
      <c r="AP88" s="13"/>
      <c r="AQ88" s="13"/>
      <c r="AR88" s="14"/>
    </row>
    <row r="89" spans="1:44" ht="15" customHeight="1" thickBot="1">
      <c r="A89" s="8"/>
      <c r="D89" s="11"/>
      <c r="H89" s="12" t="s">
        <v>58</v>
      </c>
      <c r="I89" s="13"/>
      <c r="J89" s="13"/>
      <c r="K89" s="13"/>
      <c r="L89" s="13"/>
      <c r="M89" s="13"/>
      <c r="N89" s="13"/>
      <c r="O89" s="13"/>
      <c r="P89" s="13"/>
      <c r="Q89" s="13"/>
      <c r="R89" s="14"/>
      <c r="S89" s="37"/>
      <c r="T89" s="12" t="s">
        <v>59</v>
      </c>
      <c r="U89" s="13"/>
      <c r="V89" s="13"/>
      <c r="W89" s="13"/>
      <c r="X89" s="13"/>
      <c r="Y89" s="13"/>
      <c r="Z89" s="13"/>
      <c r="AA89" s="13"/>
      <c r="AB89" s="13"/>
      <c r="AC89" s="13"/>
      <c r="AD89" s="14"/>
      <c r="AE89" s="15"/>
      <c r="AF89" s="15"/>
      <c r="AG89" s="15"/>
      <c r="AH89" s="16"/>
      <c r="AI89" s="17"/>
      <c r="AJ89" s="17"/>
      <c r="AK89" s="17"/>
      <c r="AL89" s="17"/>
      <c r="AM89" s="17"/>
      <c r="AN89" s="17"/>
      <c r="AO89" s="17"/>
      <c r="AP89" s="17"/>
      <c r="AQ89" s="17"/>
      <c r="AR89" s="18"/>
    </row>
    <row r="90" spans="1:44" ht="15.75" customHeight="1" thickBot="1">
      <c r="A90" s="19"/>
      <c r="B90" s="25"/>
      <c r="C90" s="25"/>
      <c r="D90" s="20"/>
      <c r="H90" s="16"/>
      <c r="I90" s="17"/>
      <c r="J90" s="17"/>
      <c r="K90" s="17"/>
      <c r="L90" s="17"/>
      <c r="M90" s="17"/>
      <c r="N90" s="17"/>
      <c r="O90" s="17"/>
      <c r="P90" s="17"/>
      <c r="Q90" s="17"/>
      <c r="R90" s="18"/>
      <c r="S90" s="37"/>
      <c r="T90" s="16"/>
      <c r="U90" s="17"/>
      <c r="V90" s="17"/>
      <c r="W90" s="17"/>
      <c r="X90" s="17"/>
      <c r="Y90" s="17"/>
      <c r="Z90" s="17"/>
      <c r="AA90" s="17"/>
      <c r="AB90" s="17"/>
      <c r="AC90" s="17"/>
      <c r="AD90" s="18"/>
      <c r="AE90" s="15"/>
      <c r="AF90" s="15"/>
      <c r="AG90" s="15"/>
      <c r="AH90" t="s">
        <v>19</v>
      </c>
      <c r="AI90" t="s">
        <v>20</v>
      </c>
      <c r="AJ90" t="s">
        <v>21</v>
      </c>
      <c r="AK90" t="s">
        <v>22</v>
      </c>
      <c r="AL90" t="s">
        <v>23</v>
      </c>
      <c r="AM90" t="s">
        <v>24</v>
      </c>
      <c r="AN90" t="s">
        <v>25</v>
      </c>
      <c r="AO90" t="s">
        <v>26</v>
      </c>
      <c r="AP90" t="s">
        <v>27</v>
      </c>
      <c r="AQ90" t="s">
        <v>30</v>
      </c>
      <c r="AR90" t="s">
        <v>31</v>
      </c>
    </row>
    <row r="91" spans="1:44">
      <c r="H91" t="s">
        <v>19</v>
      </c>
      <c r="I91" t="s">
        <v>20</v>
      </c>
      <c r="J91" t="s">
        <v>21</v>
      </c>
      <c r="K91" t="s">
        <v>22</v>
      </c>
      <c r="L91" t="s">
        <v>23</v>
      </c>
      <c r="M91" t="s">
        <v>24</v>
      </c>
      <c r="N91" t="s">
        <v>25</v>
      </c>
      <c r="O91" t="s">
        <v>26</v>
      </c>
      <c r="P91" t="s">
        <v>27</v>
      </c>
      <c r="Q91" t="s">
        <v>30</v>
      </c>
      <c r="R91" t="s">
        <v>31</v>
      </c>
      <c r="T91" t="s">
        <v>19</v>
      </c>
      <c r="U91" t="s">
        <v>20</v>
      </c>
      <c r="V91" t="s">
        <v>21</v>
      </c>
      <c r="W91" t="s">
        <v>22</v>
      </c>
      <c r="X91" t="s">
        <v>23</v>
      </c>
      <c r="Y91" t="s">
        <v>24</v>
      </c>
      <c r="Z91" t="s">
        <v>25</v>
      </c>
      <c r="AA91" t="s">
        <v>26</v>
      </c>
      <c r="AB91" t="s">
        <v>27</v>
      </c>
      <c r="AC91" t="s">
        <v>30</v>
      </c>
      <c r="AD91" t="s">
        <v>31</v>
      </c>
      <c r="AH91">
        <f>50</f>
        <v>50</v>
      </c>
      <c r="AI91">
        <f>(2*$B$3*$B$8*$D$9)/($B$10*$B$9*$B$4*AH91^2)</f>
        <v>4.5139236686189905</v>
      </c>
      <c r="AJ91">
        <f>$B$5+(AI91^2/($B$13*$B$12*PI()))</f>
        <v>0.99130603307723864</v>
      </c>
      <c r="AK91">
        <f>(0.5/$B$8)*$B$10*$B$9*$B$4*AJ91*AH91^2</f>
        <v>1098.0536068529966</v>
      </c>
      <c r="AL91">
        <f>($B$6*$B$15*75)/(AH91)</f>
        <v>753.75</v>
      </c>
      <c r="AM91">
        <f>((AL91-AK91)*AH91)/($B$3)</f>
        <v>-17.21518034264983</v>
      </c>
      <c r="AN91">
        <f>AM91*$B$16</f>
        <v>-3382.7829373306918</v>
      </c>
      <c r="AO91">
        <v>200</v>
      </c>
      <c r="AP91">
        <f>SQRT((AH91^2/(AO91*$B$8))^2+1)</f>
        <v>1.6197564934650588</v>
      </c>
      <c r="AQ91">
        <f>((180*$B$8)/(PI()*AH91))*SQRT($D$9^2-1)</f>
        <v>55.071544464737009</v>
      </c>
      <c r="AR91">
        <f>((180*$B$8)/(PI()*AH91))*SQRT(AP91^2-1)</f>
        <v>14.323944878270584</v>
      </c>
    </row>
    <row r="92" spans="1:44">
      <c r="H92">
        <f>40</f>
        <v>40</v>
      </c>
      <c r="I92">
        <f>(2*$B$3*$B$8*$D$7)/($B$10*$B$9*$B$4*H92^2)</f>
        <v>4.2318034393303039</v>
      </c>
      <c r="J92">
        <f>$B$5+(I92^2/($B$13*$B$12*PI()))</f>
        <v>0.873323661884292</v>
      </c>
      <c r="K92">
        <f>(0.5/$B$8)*$B$10*$B$9*$B$4*J92*H92^2</f>
        <v>619.11452722565366</v>
      </c>
      <c r="L92">
        <f>($B$6*$B$15*75)/(H92)</f>
        <v>942.1875</v>
      </c>
      <c r="M92">
        <f>((L92-K92)*H92)/($B$3)</f>
        <v>12.922918910973854</v>
      </c>
      <c r="N92">
        <f>M92*$B$16</f>
        <v>2539.3535660063621</v>
      </c>
      <c r="O92">
        <v>600</v>
      </c>
      <c r="P92">
        <f>SQRT((H92^2/(O92*$B$8))^2+1)</f>
        <v>1.0362877713684908</v>
      </c>
      <c r="Q92">
        <f>((180*$B$8)/(PI()*H92))*SQRT($D$7^2-1)</f>
        <v>39.744463776755452</v>
      </c>
      <c r="R92">
        <f>((180*$B$8)/(PI()*H92))*SQRT(P92^2-1)</f>
        <v>3.8197186342054854</v>
      </c>
      <c r="T92">
        <v>38</v>
      </c>
      <c r="U92">
        <f>(2*$B$3*$B$8*$D$8)/($B$10*$B$9*$B$4*T92^2)</f>
        <v>6.2519718401925086</v>
      </c>
      <c r="V92">
        <f>$B$5+(U92^2/($B$13*$B$12*PI()))</f>
        <v>1.8860503316373396</v>
      </c>
      <c r="W92">
        <f>(0.5/$B$8)*$B$10*$B$9*$B$4*V92*T92^2</f>
        <v>1206.691507797492</v>
      </c>
      <c r="X92">
        <f>($B$6*$B$15*75)/(T92)</f>
        <v>991.77631578947364</v>
      </c>
      <c r="Y92">
        <f>((X92-W92)*T92)/($B$3)</f>
        <v>-8.1667772963046978</v>
      </c>
      <c r="Z92">
        <f>Y92*$B$16</f>
        <v>-1604.7717387238731</v>
      </c>
      <c r="AA92">
        <v>400</v>
      </c>
      <c r="AB92">
        <f>SQRT((T92^2/(AA92*$B$8))^2+1)</f>
        <v>1.0655599457692502</v>
      </c>
      <c r="AC92">
        <f>((180*$B$8)/(PI()*T92))*SQRT($D$8^2-1)</f>
        <v>57.286682490726136</v>
      </c>
      <c r="AD92">
        <f>((180*$B$8)/(PI()*T92))*SQRT(AB92^2-1)</f>
        <v>5.4430990537428272</v>
      </c>
      <c r="AH92">
        <f>AH91+2</f>
        <v>52</v>
      </c>
      <c r="AI92">
        <f t="shared" ref="AI92:AI155" si="79">(2*$B$3*$B$8*$D$9)/($B$10*$B$9*$B$4*AH92^2)</f>
        <v>4.1733761729095704</v>
      </c>
      <c r="AJ92">
        <f t="shared" ref="AJ92:AJ155" si="80">$B$5+(AI92^2/($B$13*$B$12*PI()))</f>
        <v>0.84984088041997063</v>
      </c>
      <c r="AK92">
        <f t="shared" ref="AK92:AK155" si="81">(0.5/$B$8)*$B$10*$B$9*$B$4*AJ92*AH92^2</f>
        <v>1018.1695169686603</v>
      </c>
      <c r="AL92">
        <f t="shared" ref="AL92:AL155" si="82">($B$6*$B$15*75)/(AH92)</f>
        <v>724.75961538461536</v>
      </c>
      <c r="AM92">
        <f t="shared" ref="AM92:AM155" si="83">((AL92-AK92)*AH92)/($B$3)</f>
        <v>-15.257314882370338</v>
      </c>
      <c r="AN92">
        <f t="shared" ref="AN92:AN155" si="84">AM92*$B$16</f>
        <v>-2998.0623743857714</v>
      </c>
      <c r="AO92">
        <f>AO91</f>
        <v>200</v>
      </c>
      <c r="AP92">
        <f t="shared" ref="AP92:AP155" si="85">SQRT((AH92^2/(AO92*$B$8))^2+1)</f>
        <v>1.7027610934154216</v>
      </c>
      <c r="AQ92">
        <f t="shared" ref="AQ92:AQ155" si="86">((180*$B$8)/(PI()*AH92))*SQRT($D$9^2-1)</f>
        <v>52.9534081391702</v>
      </c>
      <c r="AR92">
        <f t="shared" ref="AR92:AR155" si="87">((180*$B$8)/(PI()*AH92))*SQRT(AP92^2-1)</f>
        <v>14.896902673401405</v>
      </c>
    </row>
    <row r="93" spans="1:44" ht="15.75" thickBot="1">
      <c r="H93">
        <f>H92+2</f>
        <v>42</v>
      </c>
      <c r="I93">
        <f t="shared" ref="I93:I156" si="88">(2*$B$3*$B$8*$D$7)/($B$10*$B$9*$B$4*H93^2)</f>
        <v>3.8383704665127474</v>
      </c>
      <c r="J93">
        <f t="shared" ref="J93:J156" si="89">$B$5+(I93^2/($B$13*$B$12*PI()))</f>
        <v>0.72149959585505374</v>
      </c>
      <c r="K93">
        <f t="shared" ref="K93:K156" si="90">(0.5/$B$8)*$B$10*$B$9*$B$4*J93*H93^2</f>
        <v>563.91085916510315</v>
      </c>
      <c r="L93">
        <f t="shared" ref="L93:L156" si="91">($B$6*$B$15*75)/(H93)</f>
        <v>897.32142857142856</v>
      </c>
      <c r="M93">
        <f t="shared" ref="M93:M156" si="92">((L93-K93)*H93)/($B$3)</f>
        <v>14.003243915065667</v>
      </c>
      <c r="N93">
        <f t="shared" ref="N93:N156" si="93">M93*$B$16</f>
        <v>2751.6374293104036</v>
      </c>
      <c r="O93">
        <f>O92</f>
        <v>600</v>
      </c>
      <c r="P93">
        <f t="shared" ref="P93:P156" si="94">SQRT((H93^2/(O93*$B$8))^2+1)</f>
        <v>1.0439428180132604</v>
      </c>
      <c r="Q93">
        <f t="shared" ref="Q93:Q156" si="95">((180*$B$8)/(PI()*H93))*SQRT($D$7^2-1)</f>
        <v>37.851870263576622</v>
      </c>
      <c r="R93">
        <f t="shared" ref="R93:R156" si="96">((180*$B$8)/(PI()*H93))*SQRT(P93^2-1)</f>
        <v>4.0107045659157645</v>
      </c>
      <c r="T93">
        <f>T92+2</f>
        <v>40</v>
      </c>
      <c r="U93">
        <f t="shared" ref="U93:U156" si="97">(2*$B$3*$B$8*$D$8)/($B$10*$B$9*$B$4*T93^2)</f>
        <v>5.6424045857737379</v>
      </c>
      <c r="V93">
        <f t="shared" ref="V93:V156" si="98">$B$5+(U93^2/($B$13*$B$12*PI()))</f>
        <v>1.5393531766831852</v>
      </c>
      <c r="W93">
        <f t="shared" ref="W93:W156" si="99">(0.5/$B$8)*$B$10*$B$9*$B$4*V93*T93^2</f>
        <v>1091.2745821626293</v>
      </c>
      <c r="X93">
        <f t="shared" ref="X93:X156" si="100">($B$6*$B$15*75)/(T93)</f>
        <v>942.1875</v>
      </c>
      <c r="Y93">
        <f t="shared" ref="Y93:Y156" si="101">((X93-W93)*T93)/($B$3)</f>
        <v>-5.9634832865051699</v>
      </c>
      <c r="Z93">
        <f t="shared" ref="Z93:Z156" si="102">Y93*$B$16</f>
        <v>-1171.8244657982659</v>
      </c>
      <c r="AA93">
        <f>AA92</f>
        <v>400</v>
      </c>
      <c r="AB93">
        <f t="shared" ref="AB93:AB156" si="103">SQRT((T93^2/(AA93*$B$8))^2+1)</f>
        <v>1.0799341537555498</v>
      </c>
      <c r="AC93">
        <f t="shared" ref="AC93:AC156" si="104">((180*$B$8)/(PI()*T93))*SQRT($D$8^2-1)</f>
        <v>54.422348366189823</v>
      </c>
      <c r="AD93">
        <f t="shared" ref="AD93:AD156" si="105">((180*$B$8)/(PI()*T93))*SQRT(AB93^2-1)</f>
        <v>5.7295779513082321</v>
      </c>
      <c r="AH93">
        <f t="shared" ref="AH93:AH156" si="106">AH92+2</f>
        <v>54</v>
      </c>
      <c r="AI93">
        <f t="shared" si="79"/>
        <v>3.8699619929861035</v>
      </c>
      <c r="AJ93">
        <f t="shared" si="80"/>
        <v>0.73314402007145951</v>
      </c>
      <c r="AK93">
        <f t="shared" si="81"/>
        <v>947.22379883860037</v>
      </c>
      <c r="AL93">
        <f t="shared" si="82"/>
        <v>697.91666666666663</v>
      </c>
      <c r="AM93">
        <f t="shared" si="83"/>
        <v>-13.462585137284423</v>
      </c>
      <c r="AN93">
        <f t="shared" si="84"/>
        <v>-2645.3979794763891</v>
      </c>
      <c r="AO93">
        <f t="shared" ref="AO93:AO156" si="107">AO92</f>
        <v>200</v>
      </c>
      <c r="AP93">
        <f t="shared" si="85"/>
        <v>1.79134166878593</v>
      </c>
      <c r="AQ93">
        <f t="shared" si="86"/>
        <v>50.992170800682416</v>
      </c>
      <c r="AR93">
        <f t="shared" si="87"/>
        <v>15.469860468532231</v>
      </c>
    </row>
    <row r="94" spans="1:44" ht="15.75" thickBot="1">
      <c r="A94" s="31" t="s">
        <v>60</v>
      </c>
      <c r="B94" s="32"/>
      <c r="C94" s="32"/>
      <c r="D94" s="33"/>
      <c r="H94">
        <f t="shared" ref="H94:H157" si="108">H93+2</f>
        <v>44</v>
      </c>
      <c r="I94">
        <f t="shared" si="88"/>
        <v>3.4973582143225652</v>
      </c>
      <c r="J94">
        <f t="shared" si="89"/>
        <v>0.6018805832144607</v>
      </c>
      <c r="K94">
        <f t="shared" si="90"/>
        <v>516.28733432246747</v>
      </c>
      <c r="L94">
        <f t="shared" si="91"/>
        <v>856.53409090909088</v>
      </c>
      <c r="M94">
        <f t="shared" si="92"/>
        <v>14.970857289811429</v>
      </c>
      <c r="N94">
        <f t="shared" si="93"/>
        <v>2941.7734574479459</v>
      </c>
      <c r="O94">
        <f t="shared" ref="O94:O157" si="109">O93</f>
        <v>600</v>
      </c>
      <c r="P94">
        <f t="shared" si="94"/>
        <v>1.052704033640584</v>
      </c>
      <c r="Q94">
        <f t="shared" si="95"/>
        <v>36.131330706141327</v>
      </c>
      <c r="R94">
        <f t="shared" si="96"/>
        <v>4.2016904976260392</v>
      </c>
      <c r="T94">
        <f t="shared" ref="T94:T157" si="110">T93+2</f>
        <v>42</v>
      </c>
      <c r="U94">
        <f t="shared" si="97"/>
        <v>5.1178272886836629</v>
      </c>
      <c r="V94">
        <f t="shared" si="98"/>
        <v>1.2694437259645397</v>
      </c>
      <c r="W94">
        <f t="shared" si="99"/>
        <v>992.17394754331258</v>
      </c>
      <c r="X94">
        <f t="shared" si="100"/>
        <v>897.32142857142856</v>
      </c>
      <c r="Y94">
        <f t="shared" si="101"/>
        <v>-3.9838057968191287</v>
      </c>
      <c r="Z94">
        <f t="shared" si="102"/>
        <v>-782.81783907495878</v>
      </c>
      <c r="AA94">
        <f t="shared" ref="AA94:AA157" si="111">AA93</f>
        <v>400</v>
      </c>
      <c r="AB94">
        <f t="shared" si="103"/>
        <v>1.0963974490955828</v>
      </c>
      <c r="AC94">
        <f t="shared" si="104"/>
        <v>51.830807967799828</v>
      </c>
      <c r="AD94">
        <f t="shared" si="105"/>
        <v>6.016056848873645</v>
      </c>
      <c r="AH94">
        <f t="shared" si="106"/>
        <v>56</v>
      </c>
      <c r="AI94">
        <f t="shared" si="79"/>
        <v>3.598472312355701</v>
      </c>
      <c r="AJ94">
        <f t="shared" si="80"/>
        <v>0.63618909791948097</v>
      </c>
      <c r="AK94">
        <f t="shared" si="81"/>
        <v>883.9710892523259</v>
      </c>
      <c r="AL94">
        <f t="shared" si="82"/>
        <v>672.99107142857144</v>
      </c>
      <c r="AM94">
        <f t="shared" si="83"/>
        <v>-11.814880998130249</v>
      </c>
      <c r="AN94">
        <f t="shared" si="84"/>
        <v>-2321.6241161325938</v>
      </c>
      <c r="AO94">
        <f t="shared" si="107"/>
        <v>200</v>
      </c>
      <c r="AP94">
        <f t="shared" si="85"/>
        <v>1.8854133488458642</v>
      </c>
      <c r="AQ94">
        <f t="shared" si="86"/>
        <v>49.171021843515192</v>
      </c>
      <c r="AR94">
        <f t="shared" si="87"/>
        <v>16.042818263663051</v>
      </c>
    </row>
    <row r="95" spans="1:44">
      <c r="A95" s="8" t="s">
        <v>19</v>
      </c>
      <c r="B95" t="s">
        <v>51</v>
      </c>
      <c r="D95" s="11"/>
      <c r="H95">
        <f t="shared" si="108"/>
        <v>46</v>
      </c>
      <c r="I95">
        <f t="shared" si="88"/>
        <v>3.1998513718943697</v>
      </c>
      <c r="J95">
        <f t="shared" si="89"/>
        <v>0.50660583296045503</v>
      </c>
      <c r="K95">
        <f t="shared" si="90"/>
        <v>474.96502876057201</v>
      </c>
      <c r="L95">
        <f t="shared" si="91"/>
        <v>819.29347826086962</v>
      </c>
      <c r="M95">
        <f t="shared" si="92"/>
        <v>15.839108677013689</v>
      </c>
      <c r="N95">
        <f t="shared" si="93"/>
        <v>3112.38485503319</v>
      </c>
      <c r="O95">
        <f t="shared" si="109"/>
        <v>600</v>
      </c>
      <c r="P95">
        <f t="shared" si="94"/>
        <v>1.0626561877605794</v>
      </c>
      <c r="Q95">
        <f t="shared" si="95"/>
        <v>34.560403284135184</v>
      </c>
      <c r="R95">
        <f t="shared" si="96"/>
        <v>4.3926764293363112</v>
      </c>
      <c r="T95">
        <f t="shared" si="110"/>
        <v>44</v>
      </c>
      <c r="U95">
        <f t="shared" si="97"/>
        <v>4.6631442857634209</v>
      </c>
      <c r="V95">
        <f t="shared" si="98"/>
        <v>1.0567877034923747</v>
      </c>
      <c r="W95">
        <f t="shared" si="99"/>
        <v>906.50225575798504</v>
      </c>
      <c r="X95">
        <f t="shared" si="100"/>
        <v>856.53409090909088</v>
      </c>
      <c r="Y95">
        <f t="shared" si="101"/>
        <v>-2.1985992533513432</v>
      </c>
      <c r="Z95">
        <f t="shared" si="102"/>
        <v>-432.02475328353893</v>
      </c>
      <c r="AA95">
        <f t="shared" si="111"/>
        <v>400</v>
      </c>
      <c r="AB95">
        <f t="shared" si="103"/>
        <v>1.1150865484333943</v>
      </c>
      <c r="AC95">
        <f t="shared" si="104"/>
        <v>49.474862151081666</v>
      </c>
      <c r="AD95">
        <f t="shared" si="105"/>
        <v>6.3025357464390606</v>
      </c>
      <c r="AH95">
        <f t="shared" si="106"/>
        <v>58</v>
      </c>
      <c r="AI95">
        <f t="shared" si="79"/>
        <v>3.3545806098535902</v>
      </c>
      <c r="AJ95">
        <f t="shared" si="80"/>
        <v>0.5551005486797983</v>
      </c>
      <c r="AK95">
        <f t="shared" si="81"/>
        <v>827.37697083395699</v>
      </c>
      <c r="AL95">
        <f t="shared" si="82"/>
        <v>649.7844827586207</v>
      </c>
      <c r="AM95">
        <f t="shared" si="83"/>
        <v>-10.300364308369504</v>
      </c>
      <c r="AN95">
        <f t="shared" si="84"/>
        <v>-2024.0215865946075</v>
      </c>
      <c r="AO95">
        <f t="shared" si="107"/>
        <v>200</v>
      </c>
      <c r="AP95">
        <f t="shared" si="85"/>
        <v>1.9848864349359936</v>
      </c>
      <c r="AQ95">
        <f t="shared" si="86"/>
        <v>47.475469366152595</v>
      </c>
      <c r="AR95">
        <f t="shared" si="87"/>
        <v>16.615776058793873</v>
      </c>
    </row>
    <row r="96" spans="1:44">
      <c r="A96" s="8">
        <v>69</v>
      </c>
      <c r="B96">
        <v>13</v>
      </c>
      <c r="D96" s="11"/>
      <c r="H96">
        <f t="shared" si="108"/>
        <v>48</v>
      </c>
      <c r="I96">
        <f t="shared" si="88"/>
        <v>2.9387523884238225</v>
      </c>
      <c r="J96">
        <f t="shared" si="89"/>
        <v>0.429964728917965</v>
      </c>
      <c r="K96">
        <f t="shared" si="90"/>
        <v>438.92578082963973</v>
      </c>
      <c r="L96">
        <f t="shared" si="91"/>
        <v>785.15625</v>
      </c>
      <c r="M96">
        <f t="shared" si="92"/>
        <v>16.619062520177291</v>
      </c>
      <c r="N96">
        <f t="shared" si="93"/>
        <v>3265.6457852148378</v>
      </c>
      <c r="O96">
        <f t="shared" si="109"/>
        <v>600</v>
      </c>
      <c r="P96">
        <f t="shared" si="94"/>
        <v>1.0738822872057321</v>
      </c>
      <c r="Q96">
        <f t="shared" si="95"/>
        <v>33.120386480629548</v>
      </c>
      <c r="R96">
        <f t="shared" si="96"/>
        <v>4.583662361046585</v>
      </c>
      <c r="T96">
        <f t="shared" si="110"/>
        <v>46</v>
      </c>
      <c r="U96">
        <f t="shared" si="97"/>
        <v>4.2664684958591597</v>
      </c>
      <c r="V96">
        <f t="shared" si="98"/>
        <v>0.88741036970747567</v>
      </c>
      <c r="W96">
        <f t="shared" si="99"/>
        <v>831.98586425166934</v>
      </c>
      <c r="X96">
        <f t="shared" si="100"/>
        <v>819.29347826086962</v>
      </c>
      <c r="Y96">
        <f t="shared" si="101"/>
        <v>-0.5838497555767872</v>
      </c>
      <c r="Z96">
        <f t="shared" si="102"/>
        <v>-114.72647697083869</v>
      </c>
      <c r="AA96">
        <f t="shared" si="111"/>
        <v>400</v>
      </c>
      <c r="AB96">
        <f t="shared" si="103"/>
        <v>1.1361275853169648</v>
      </c>
      <c r="AC96">
        <f t="shared" si="104"/>
        <v>47.323781187991159</v>
      </c>
      <c r="AD96">
        <f t="shared" si="105"/>
        <v>6.5890146440044655</v>
      </c>
      <c r="AH96">
        <f t="shared" si="106"/>
        <v>60</v>
      </c>
      <c r="AI96">
        <f t="shared" si="79"/>
        <v>3.1346692143187438</v>
      </c>
      <c r="AJ96">
        <f t="shared" si="80"/>
        <v>0.48686209156888449</v>
      </c>
      <c r="AK96">
        <f t="shared" si="81"/>
        <v>776.57650342333488</v>
      </c>
      <c r="AL96">
        <f t="shared" si="82"/>
        <v>628.125</v>
      </c>
      <c r="AM96">
        <f t="shared" si="83"/>
        <v>-8.9070902054000918</v>
      </c>
      <c r="AN96">
        <f t="shared" si="84"/>
        <v>-1750.243225361118</v>
      </c>
      <c r="AO96">
        <f t="shared" si="107"/>
        <v>200</v>
      </c>
      <c r="AP96">
        <f t="shared" si="85"/>
        <v>2.0896698239354086</v>
      </c>
      <c r="AQ96">
        <f t="shared" si="86"/>
        <v>45.89295372061418</v>
      </c>
      <c r="AR96">
        <f t="shared" si="87"/>
        <v>17.188733853924703</v>
      </c>
    </row>
    <row r="97" spans="1:44">
      <c r="A97" s="8">
        <v>94</v>
      </c>
      <c r="B97">
        <v>12.57</v>
      </c>
      <c r="D97" s="11"/>
      <c r="H97">
        <f t="shared" si="108"/>
        <v>50</v>
      </c>
      <c r="I97">
        <f t="shared" si="88"/>
        <v>2.7083542011713946</v>
      </c>
      <c r="J97">
        <f t="shared" si="89"/>
        <v>0.36775017190780601</v>
      </c>
      <c r="K97">
        <f t="shared" si="90"/>
        <v>407.35089791662017</v>
      </c>
      <c r="L97">
        <f t="shared" si="91"/>
        <v>753.75</v>
      </c>
      <c r="M97">
        <f t="shared" si="92"/>
        <v>17.319955104168994</v>
      </c>
      <c r="N97">
        <f t="shared" si="93"/>
        <v>3403.3711779692071</v>
      </c>
      <c r="O97">
        <f t="shared" si="109"/>
        <v>600</v>
      </c>
      <c r="P97">
        <f t="shared" si="94"/>
        <v>1.0864627159386058</v>
      </c>
      <c r="Q97">
        <f t="shared" si="95"/>
        <v>31.795571021404363</v>
      </c>
      <c r="R97">
        <f t="shared" si="96"/>
        <v>4.7746482927568632</v>
      </c>
      <c r="T97">
        <f t="shared" si="110"/>
        <v>48</v>
      </c>
      <c r="U97">
        <f t="shared" si="97"/>
        <v>3.91833651789843</v>
      </c>
      <c r="V97">
        <f t="shared" si="98"/>
        <v>0.75115951807638215</v>
      </c>
      <c r="W97">
        <f t="shared" si="99"/>
        <v>766.81470786920659</v>
      </c>
      <c r="X97">
        <f t="shared" si="100"/>
        <v>785.15625</v>
      </c>
      <c r="Y97">
        <f t="shared" si="101"/>
        <v>0.88039402227808383</v>
      </c>
      <c r="Z97">
        <f t="shared" si="102"/>
        <v>172.99742537764348</v>
      </c>
      <c r="AA97">
        <f t="shared" si="111"/>
        <v>400</v>
      </c>
      <c r="AB97">
        <f t="shared" si="103"/>
        <v>1.1596344791536612</v>
      </c>
      <c r="AC97">
        <f t="shared" si="104"/>
        <v>45.351956971824862</v>
      </c>
      <c r="AD97">
        <f t="shared" si="105"/>
        <v>6.8754935415698819</v>
      </c>
      <c r="AH97">
        <f t="shared" si="106"/>
        <v>62</v>
      </c>
      <c r="AI97">
        <f t="shared" si="79"/>
        <v>2.9356943734514767</v>
      </c>
      <c r="AJ97">
        <f t="shared" si="80"/>
        <v>0.42910572815430981</v>
      </c>
      <c r="AK97">
        <f t="shared" si="81"/>
        <v>730.84196371881342</v>
      </c>
      <c r="AL97">
        <f t="shared" si="82"/>
        <v>607.86290322580646</v>
      </c>
      <c r="AM97">
        <f t="shared" si="83"/>
        <v>-7.6247017505664321</v>
      </c>
      <c r="AN97">
        <f t="shared" si="84"/>
        <v>-1498.2538939863039</v>
      </c>
      <c r="AO97">
        <f t="shared" si="107"/>
        <v>200</v>
      </c>
      <c r="AP97">
        <f t="shared" si="85"/>
        <v>2.1996735437489967</v>
      </c>
      <c r="AQ97">
        <f t="shared" si="86"/>
        <v>44.412535858658877</v>
      </c>
      <c r="AR97">
        <f t="shared" si="87"/>
        <v>17.761691649055525</v>
      </c>
    </row>
    <row r="98" spans="1:44">
      <c r="A98" s="8">
        <v>110</v>
      </c>
      <c r="B98">
        <v>11.15</v>
      </c>
      <c r="D98" s="11"/>
      <c r="H98">
        <f t="shared" si="108"/>
        <v>52</v>
      </c>
      <c r="I98">
        <f t="shared" si="88"/>
        <v>2.5040257037457421</v>
      </c>
      <c r="J98">
        <f t="shared" si="89"/>
        <v>0.31682271695118941</v>
      </c>
      <c r="K98">
        <f t="shared" si="90"/>
        <v>379.57603607334153</v>
      </c>
      <c r="L98">
        <f t="shared" si="91"/>
        <v>724.75961538461536</v>
      </c>
      <c r="M98">
        <f t="shared" si="92"/>
        <v>17.949546124186238</v>
      </c>
      <c r="N98">
        <f t="shared" si="93"/>
        <v>3527.0858134025957</v>
      </c>
      <c r="O98">
        <f t="shared" si="109"/>
        <v>600</v>
      </c>
      <c r="P98">
        <f t="shared" si="94"/>
        <v>1.1004744098821544</v>
      </c>
      <c r="Q98">
        <f t="shared" si="95"/>
        <v>30.572664443658038</v>
      </c>
      <c r="R98">
        <f t="shared" si="96"/>
        <v>4.9656342244671379</v>
      </c>
      <c r="T98">
        <f t="shared" si="110"/>
        <v>50</v>
      </c>
      <c r="U98">
        <f t="shared" si="97"/>
        <v>3.6111389348951928</v>
      </c>
      <c r="V98">
        <f t="shared" si="98"/>
        <v>0.64055586116943286</v>
      </c>
      <c r="W98">
        <f t="shared" si="99"/>
        <v>709.53333307628486</v>
      </c>
      <c r="X98">
        <f t="shared" si="100"/>
        <v>753.75</v>
      </c>
      <c r="Y98">
        <f t="shared" si="101"/>
        <v>2.210833346185757</v>
      </c>
      <c r="Z98">
        <f t="shared" si="102"/>
        <v>434.42875252550124</v>
      </c>
      <c r="AA98">
        <f t="shared" si="111"/>
        <v>400</v>
      </c>
      <c r="AB98">
        <f t="shared" si="103"/>
        <v>1.1857077104120373</v>
      </c>
      <c r="AC98">
        <f t="shared" si="104"/>
        <v>43.537878692951857</v>
      </c>
      <c r="AD98">
        <f t="shared" si="105"/>
        <v>7.1619724391352912</v>
      </c>
      <c r="AH98">
        <f t="shared" si="106"/>
        <v>64</v>
      </c>
      <c r="AI98">
        <f t="shared" si="79"/>
        <v>2.7550803641473331</v>
      </c>
      <c r="AJ98">
        <f t="shared" si="80"/>
        <v>0.379957281275555</v>
      </c>
      <c r="AK98">
        <f t="shared" si="81"/>
        <v>689.55752837566968</v>
      </c>
      <c r="AL98">
        <f t="shared" si="82"/>
        <v>588.8671875</v>
      </c>
      <c r="AM98">
        <f t="shared" si="83"/>
        <v>-6.4441818160428594</v>
      </c>
      <c r="AN98">
        <f t="shared" si="84"/>
        <v>-1266.2817268524218</v>
      </c>
      <c r="AO98">
        <f t="shared" si="107"/>
        <v>200</v>
      </c>
      <c r="AP98">
        <f t="shared" si="85"/>
        <v>2.3148105440642426</v>
      </c>
      <c r="AQ98">
        <f t="shared" si="86"/>
        <v>43.024644113075787</v>
      </c>
      <c r="AR98">
        <f t="shared" si="87"/>
        <v>18.334649444186343</v>
      </c>
    </row>
    <row r="99" spans="1:44">
      <c r="A99" s="8">
        <v>120</v>
      </c>
      <c r="B99">
        <v>10</v>
      </c>
      <c r="D99" s="11"/>
      <c r="H99">
        <f t="shared" si="108"/>
        <v>54</v>
      </c>
      <c r="I99">
        <f t="shared" si="88"/>
        <v>2.321977195791662</v>
      </c>
      <c r="J99">
        <f t="shared" si="89"/>
        <v>0.27481184722572538</v>
      </c>
      <c r="K99">
        <f t="shared" si="90"/>
        <v>355.05755317984102</v>
      </c>
      <c r="L99">
        <f t="shared" si="91"/>
        <v>697.91666666666663</v>
      </c>
      <c r="M99">
        <f t="shared" si="92"/>
        <v>18.514392128288581</v>
      </c>
      <c r="N99">
        <f t="shared" si="93"/>
        <v>3638.078053208706</v>
      </c>
      <c r="O99">
        <f t="shared" si="109"/>
        <v>600</v>
      </c>
      <c r="P99">
        <f t="shared" si="94"/>
        <v>1.1159900922662929</v>
      </c>
      <c r="Q99">
        <f t="shared" si="95"/>
        <v>29.440343538337373</v>
      </c>
      <c r="R99">
        <f t="shared" si="96"/>
        <v>5.156620156177409</v>
      </c>
      <c r="T99">
        <f t="shared" si="110"/>
        <v>52</v>
      </c>
      <c r="U99">
        <f t="shared" si="97"/>
        <v>3.3387009383276558</v>
      </c>
      <c r="V99">
        <f t="shared" si="98"/>
        <v>0.55001816346878107</v>
      </c>
      <c r="W99">
        <f t="shared" si="99"/>
        <v>658.96068396504336</v>
      </c>
      <c r="X99">
        <f t="shared" si="100"/>
        <v>724.75961538461536</v>
      </c>
      <c r="Y99">
        <f t="shared" si="101"/>
        <v>3.4215444338177439</v>
      </c>
      <c r="Z99">
        <f t="shared" si="102"/>
        <v>672.3334812451867</v>
      </c>
      <c r="AA99">
        <f t="shared" si="111"/>
        <v>400</v>
      </c>
      <c r="AB99">
        <f t="shared" si="103"/>
        <v>1.2144335450374879</v>
      </c>
      <c r="AC99">
        <f t="shared" si="104"/>
        <v>41.863344897069091</v>
      </c>
      <c r="AD99">
        <f t="shared" si="105"/>
        <v>7.4484513367006997</v>
      </c>
      <c r="AH99">
        <f t="shared" si="106"/>
        <v>66</v>
      </c>
      <c r="AI99">
        <f t="shared" si="79"/>
        <v>2.5906357143130112</v>
      </c>
      <c r="AJ99">
        <f t="shared" si="80"/>
        <v>0.33792213070752303</v>
      </c>
      <c r="AK99">
        <f t="shared" si="81"/>
        <v>652.19924368473733</v>
      </c>
      <c r="AL99">
        <f t="shared" si="82"/>
        <v>571.02272727272725</v>
      </c>
      <c r="AM99">
        <f t="shared" si="83"/>
        <v>-5.3576500831926648</v>
      </c>
      <c r="AN99">
        <f t="shared" si="84"/>
        <v>-1052.7782413473585</v>
      </c>
      <c r="AO99">
        <f t="shared" si="107"/>
        <v>200</v>
      </c>
      <c r="AP99">
        <f t="shared" si="85"/>
        <v>2.434997887589696</v>
      </c>
      <c r="AQ99">
        <f t="shared" si="86"/>
        <v>41.720867018740158</v>
      </c>
      <c r="AR99">
        <f t="shared" si="87"/>
        <v>18.907607239317166</v>
      </c>
    </row>
    <row r="100" spans="1:44">
      <c r="A100" s="8">
        <v>125</v>
      </c>
      <c r="B100">
        <v>9.4</v>
      </c>
      <c r="D100" s="11"/>
      <c r="H100">
        <f t="shared" si="108"/>
        <v>56</v>
      </c>
      <c r="I100">
        <f t="shared" si="88"/>
        <v>2.1590833874134203</v>
      </c>
      <c r="J100">
        <f t="shared" si="89"/>
        <v>0.2399080752510131</v>
      </c>
      <c r="K100">
        <f t="shared" si="90"/>
        <v>333.34711848034186</v>
      </c>
      <c r="L100">
        <f t="shared" si="91"/>
        <v>672.99107142857144</v>
      </c>
      <c r="M100">
        <f t="shared" si="92"/>
        <v>19.020061365100858</v>
      </c>
      <c r="N100">
        <f t="shared" si="93"/>
        <v>3737.4420582423186</v>
      </c>
      <c r="O100">
        <f t="shared" si="109"/>
        <v>600</v>
      </c>
      <c r="P100">
        <f t="shared" si="94"/>
        <v>1.1330775934990398</v>
      </c>
      <c r="Q100">
        <f t="shared" si="95"/>
        <v>28.388902697682468</v>
      </c>
      <c r="R100">
        <f t="shared" si="96"/>
        <v>5.3476060878876837</v>
      </c>
      <c r="T100">
        <f t="shared" si="110"/>
        <v>54</v>
      </c>
      <c r="U100">
        <f t="shared" si="97"/>
        <v>3.0959695943888828</v>
      </c>
      <c r="V100">
        <f t="shared" si="98"/>
        <v>0.47533217284573404</v>
      </c>
      <c r="W100">
        <f t="shared" si="99"/>
        <v>614.13028565554816</v>
      </c>
      <c r="X100">
        <f t="shared" si="100"/>
        <v>697.91666666666663</v>
      </c>
      <c r="Y100">
        <f t="shared" si="101"/>
        <v>4.5244645746003975</v>
      </c>
      <c r="Z100">
        <f t="shared" si="102"/>
        <v>889.05728890897808</v>
      </c>
      <c r="AA100">
        <f t="shared" si="111"/>
        <v>400</v>
      </c>
      <c r="AB100">
        <f t="shared" si="103"/>
        <v>1.2458837199282242</v>
      </c>
      <c r="AC100">
        <f t="shared" si="104"/>
        <v>40.312850641622092</v>
      </c>
      <c r="AD100">
        <f t="shared" si="105"/>
        <v>7.7349302342661126</v>
      </c>
      <c r="AH100">
        <f t="shared" si="106"/>
        <v>68</v>
      </c>
      <c r="AI100">
        <f t="shared" si="79"/>
        <v>2.4404864125318939</v>
      </c>
      <c r="AJ100">
        <f t="shared" si="80"/>
        <v>0.30179985136282822</v>
      </c>
      <c r="AK100">
        <f t="shared" si="81"/>
        <v>618.31905683450327</v>
      </c>
      <c r="AL100">
        <f t="shared" si="82"/>
        <v>554.22794117647061</v>
      </c>
      <c r="AM100">
        <f t="shared" si="83"/>
        <v>-4.3581958647462216</v>
      </c>
      <c r="AN100">
        <f t="shared" si="84"/>
        <v>-856.38548742263254</v>
      </c>
      <c r="AO100">
        <f t="shared" si="107"/>
        <v>200</v>
      </c>
      <c r="AP100">
        <f t="shared" si="85"/>
        <v>2.5601574753666738</v>
      </c>
      <c r="AQ100">
        <f t="shared" si="86"/>
        <v>40.493782694659565</v>
      </c>
      <c r="AR100">
        <f t="shared" si="87"/>
        <v>19.480565034447991</v>
      </c>
    </row>
    <row r="101" spans="1:44">
      <c r="A101" s="8">
        <v>138</v>
      </c>
      <c r="B101">
        <v>7</v>
      </c>
      <c r="D101" s="11"/>
      <c r="H101">
        <f t="shared" si="108"/>
        <v>58</v>
      </c>
      <c r="I101">
        <f t="shared" si="88"/>
        <v>2.0127483659121541</v>
      </c>
      <c r="J101">
        <f t="shared" si="89"/>
        <v>0.21071619752472737</v>
      </c>
      <c r="K101">
        <f t="shared" si="90"/>
        <v>314.07234171952723</v>
      </c>
      <c r="L101">
        <f t="shared" si="91"/>
        <v>649.7844827586207</v>
      </c>
      <c r="M101">
        <f t="shared" si="92"/>
        <v>19.47130418026742</v>
      </c>
      <c r="N101">
        <f t="shared" si="93"/>
        <v>3826.1112714225483</v>
      </c>
      <c r="O101">
        <f t="shared" si="109"/>
        <v>600</v>
      </c>
      <c r="P101">
        <f t="shared" si="94"/>
        <v>1.1517992764748994</v>
      </c>
      <c r="Q101">
        <f t="shared" si="95"/>
        <v>27.409975018452034</v>
      </c>
      <c r="R101">
        <f t="shared" si="96"/>
        <v>5.5385920195979566</v>
      </c>
      <c r="T101">
        <f t="shared" si="110"/>
        <v>56</v>
      </c>
      <c r="U101">
        <f t="shared" si="97"/>
        <v>2.8787778498845609</v>
      </c>
      <c r="V101">
        <f t="shared" si="98"/>
        <v>0.41328102266846783</v>
      </c>
      <c r="W101">
        <f t="shared" si="99"/>
        <v>574.24510569308495</v>
      </c>
      <c r="X101">
        <f t="shared" si="100"/>
        <v>672.99107142857144</v>
      </c>
      <c r="Y101">
        <f t="shared" si="101"/>
        <v>5.5297740811872433</v>
      </c>
      <c r="Z101">
        <f t="shared" si="102"/>
        <v>1086.6006069532932</v>
      </c>
      <c r="AA101">
        <f t="shared" si="111"/>
        <v>400</v>
      </c>
      <c r="AB101">
        <f t="shared" si="103"/>
        <v>1.2801155705644487</v>
      </c>
      <c r="AC101">
        <f t="shared" si="104"/>
        <v>38.873105975849874</v>
      </c>
      <c r="AD101">
        <f t="shared" si="105"/>
        <v>8.0214091318315255</v>
      </c>
      <c r="AH101">
        <f t="shared" si="106"/>
        <v>70</v>
      </c>
      <c r="AI101">
        <f t="shared" si="79"/>
        <v>2.3030222799076485</v>
      </c>
      <c r="AJ101">
        <f t="shared" si="80"/>
        <v>0.27061985450781939</v>
      </c>
      <c r="AK101">
        <f t="shared" si="81"/>
        <v>587.53199408620424</v>
      </c>
      <c r="AL101">
        <f t="shared" si="82"/>
        <v>538.39285714285711</v>
      </c>
      <c r="AM101">
        <f t="shared" si="83"/>
        <v>-3.4397395860342987</v>
      </c>
      <c r="AN101">
        <f t="shared" si="84"/>
        <v>-675.90882865573974</v>
      </c>
      <c r="AO101">
        <f t="shared" si="107"/>
        <v>200</v>
      </c>
      <c r="AP101">
        <f t="shared" si="85"/>
        <v>2.6902164215070741</v>
      </c>
      <c r="AQ101">
        <f t="shared" si="86"/>
        <v>39.33681747481215</v>
      </c>
      <c r="AR101">
        <f t="shared" si="87"/>
        <v>20.05352282957881</v>
      </c>
    </row>
    <row r="102" spans="1:44">
      <c r="A102" s="8">
        <v>148</v>
      </c>
      <c r="B102">
        <v>5</v>
      </c>
      <c r="D102" s="11"/>
      <c r="H102">
        <f t="shared" si="108"/>
        <v>60</v>
      </c>
      <c r="I102">
        <f t="shared" si="88"/>
        <v>1.8808015285912463</v>
      </c>
      <c r="J102">
        <f t="shared" si="89"/>
        <v>0.18615035296479843</v>
      </c>
      <c r="K102">
        <f t="shared" si="90"/>
        <v>296.92184443974003</v>
      </c>
      <c r="L102">
        <f t="shared" si="91"/>
        <v>628.125</v>
      </c>
      <c r="M102">
        <f t="shared" si="92"/>
        <v>19.872189333615598</v>
      </c>
      <c r="N102">
        <f t="shared" si="93"/>
        <v>3904.8852040554648</v>
      </c>
      <c r="O102">
        <f t="shared" si="109"/>
        <v>600</v>
      </c>
      <c r="P102">
        <f t="shared" si="94"/>
        <v>1.172211583720004</v>
      </c>
      <c r="Q102">
        <f t="shared" si="95"/>
        <v>26.496309184503637</v>
      </c>
      <c r="R102">
        <f t="shared" si="96"/>
        <v>5.7295779513082339</v>
      </c>
      <c r="T102">
        <f t="shared" si="110"/>
        <v>58</v>
      </c>
      <c r="U102">
        <f t="shared" si="97"/>
        <v>2.6836644878828722</v>
      </c>
      <c r="V102">
        <f t="shared" si="98"/>
        <v>0.36138435115507095</v>
      </c>
      <c r="W102">
        <f t="shared" si="99"/>
        <v>538.64311695709034</v>
      </c>
      <c r="X102">
        <f t="shared" si="100"/>
        <v>649.7844827586207</v>
      </c>
      <c r="Y102">
        <f t="shared" si="101"/>
        <v>6.4461992164887603</v>
      </c>
      <c r="Z102">
        <f t="shared" si="102"/>
        <v>1266.6781460400414</v>
      </c>
      <c r="AA102">
        <f t="shared" si="111"/>
        <v>400</v>
      </c>
      <c r="AB102">
        <f t="shared" si="103"/>
        <v>1.3171725550960396</v>
      </c>
      <c r="AC102">
        <f t="shared" si="104"/>
        <v>37.532654045648151</v>
      </c>
      <c r="AD102">
        <f t="shared" si="105"/>
        <v>8.3078880293969366</v>
      </c>
      <c r="AH102">
        <f t="shared" si="106"/>
        <v>72</v>
      </c>
      <c r="AI102">
        <f t="shared" si="79"/>
        <v>2.1768536210546832</v>
      </c>
      <c r="AJ102">
        <f t="shared" si="80"/>
        <v>0.2435924438507352</v>
      </c>
      <c r="AK102">
        <f t="shared" si="81"/>
        <v>559.5057965650326</v>
      </c>
      <c r="AL102">
        <f t="shared" si="82"/>
        <v>523.4375</v>
      </c>
      <c r="AM102">
        <f t="shared" si="83"/>
        <v>-2.5969173526823468</v>
      </c>
      <c r="AN102">
        <f t="shared" si="84"/>
        <v>-510.29425980208117</v>
      </c>
      <c r="AO102">
        <f t="shared" si="107"/>
        <v>200</v>
      </c>
      <c r="AP102">
        <f t="shared" si="85"/>
        <v>2.8251071725069399</v>
      </c>
      <c r="AQ102">
        <f t="shared" si="86"/>
        <v>38.244128100511816</v>
      </c>
      <c r="AR102">
        <f t="shared" si="87"/>
        <v>20.626480624709639</v>
      </c>
    </row>
    <row r="103" spans="1:44">
      <c r="A103" s="8">
        <v>154</v>
      </c>
      <c r="B103">
        <v>3.5</v>
      </c>
      <c r="D103" s="11"/>
      <c r="H103">
        <f t="shared" si="108"/>
        <v>62</v>
      </c>
      <c r="I103">
        <f t="shared" si="88"/>
        <v>1.761416624070886</v>
      </c>
      <c r="J103">
        <f t="shared" si="89"/>
        <v>0.16535806213555154</v>
      </c>
      <c r="K103">
        <f t="shared" si="90"/>
        <v>281.63364625238751</v>
      </c>
      <c r="L103">
        <f t="shared" si="91"/>
        <v>607.86290322580646</v>
      </c>
      <c r="M103">
        <f t="shared" si="92"/>
        <v>20.226213932351978</v>
      </c>
      <c r="N103">
        <f t="shared" si="93"/>
        <v>3974.4510377071638</v>
      </c>
      <c r="O103">
        <f t="shared" si="109"/>
        <v>600</v>
      </c>
      <c r="P103">
        <f t="shared" si="94"/>
        <v>1.1943647171925178</v>
      </c>
      <c r="Q103">
        <f t="shared" si="95"/>
        <v>25.641589533390615</v>
      </c>
      <c r="R103">
        <f t="shared" si="96"/>
        <v>5.9205638830185068</v>
      </c>
      <c r="T103">
        <f t="shared" si="110"/>
        <v>60</v>
      </c>
      <c r="U103">
        <f t="shared" si="97"/>
        <v>2.507735371454995</v>
      </c>
      <c r="V103">
        <f t="shared" si="98"/>
        <v>0.31771173860408608</v>
      </c>
      <c r="W103">
        <f t="shared" si="99"/>
        <v>506.77075774506278</v>
      </c>
      <c r="X103">
        <f t="shared" si="100"/>
        <v>628.125</v>
      </c>
      <c r="Y103">
        <f t="shared" si="101"/>
        <v>7.2812545352962337</v>
      </c>
      <c r="Z103">
        <f t="shared" si="102"/>
        <v>1430.7665161857099</v>
      </c>
      <c r="AA103">
        <f t="shared" si="111"/>
        <v>400</v>
      </c>
      <c r="AB103">
        <f t="shared" si="103"/>
        <v>1.3570851090725888</v>
      </c>
      <c r="AC103">
        <f t="shared" si="104"/>
        <v>36.281565577459887</v>
      </c>
      <c r="AD103">
        <f t="shared" si="105"/>
        <v>8.5943669269623513</v>
      </c>
      <c r="AH103">
        <f t="shared" si="106"/>
        <v>74</v>
      </c>
      <c r="AI103">
        <f t="shared" si="79"/>
        <v>2.0607759626638931</v>
      </c>
      <c r="AJ103">
        <f t="shared" si="80"/>
        <v>0.2200712911915233</v>
      </c>
      <c r="AK103">
        <f t="shared" si="81"/>
        <v>533.95248968996339</v>
      </c>
      <c r="AL103">
        <f t="shared" si="82"/>
        <v>509.29054054054052</v>
      </c>
      <c r="AM103">
        <f t="shared" si="83"/>
        <v>-1.8249842370572922</v>
      </c>
      <c r="AN103">
        <f t="shared" si="84"/>
        <v>-358.60940258175793</v>
      </c>
      <c r="AO103">
        <f t="shared" si="107"/>
        <v>200</v>
      </c>
      <c r="AP103">
        <f t="shared" si="85"/>
        <v>2.9647674468878122</v>
      </c>
      <c r="AQ103">
        <f t="shared" si="86"/>
        <v>37.210503016714199</v>
      </c>
      <c r="AR103">
        <f t="shared" si="87"/>
        <v>21.199438419840462</v>
      </c>
    </row>
    <row r="104" spans="1:44">
      <c r="A104" s="8">
        <v>165</v>
      </c>
      <c r="B104">
        <v>1</v>
      </c>
      <c r="D104" s="11"/>
      <c r="H104">
        <f t="shared" si="108"/>
        <v>64</v>
      </c>
      <c r="I104">
        <f t="shared" si="88"/>
        <v>1.6530482184883999</v>
      </c>
      <c r="J104">
        <f t="shared" si="89"/>
        <v>0.14766462125919982</v>
      </c>
      <c r="K104">
        <f t="shared" si="90"/>
        <v>267.98605075336957</v>
      </c>
      <c r="L104">
        <f t="shared" si="91"/>
        <v>588.8671875</v>
      </c>
      <c r="M104">
        <f t="shared" si="92"/>
        <v>20.536392751784348</v>
      </c>
      <c r="N104">
        <f t="shared" si="93"/>
        <v>4035.4011757256244</v>
      </c>
      <c r="O104">
        <f t="shared" si="109"/>
        <v>600</v>
      </c>
      <c r="P104">
        <f t="shared" si="94"/>
        <v>1.2183024553730033</v>
      </c>
      <c r="Q104">
        <f t="shared" si="95"/>
        <v>24.840289860472158</v>
      </c>
      <c r="R104">
        <f t="shared" si="96"/>
        <v>6.1115498147287841</v>
      </c>
      <c r="T104">
        <f t="shared" si="110"/>
        <v>62</v>
      </c>
      <c r="U104">
        <f t="shared" si="97"/>
        <v>2.3485554987611814</v>
      </c>
      <c r="V104">
        <f t="shared" si="98"/>
        <v>0.28074766601875834</v>
      </c>
      <c r="W104">
        <f t="shared" si="99"/>
        <v>478.16228514394896</v>
      </c>
      <c r="X104">
        <f t="shared" si="100"/>
        <v>607.86290322580646</v>
      </c>
      <c r="Y104">
        <f t="shared" si="101"/>
        <v>8.0414383210751641</v>
      </c>
      <c r="Z104">
        <f t="shared" si="102"/>
        <v>1580.1426300912697</v>
      </c>
      <c r="AA104">
        <f t="shared" si="111"/>
        <v>400</v>
      </c>
      <c r="AB104">
        <f t="shared" si="103"/>
        <v>1.3998717529714346</v>
      </c>
      <c r="AC104">
        <f t="shared" si="104"/>
        <v>35.111192494316015</v>
      </c>
      <c r="AD104">
        <f t="shared" si="105"/>
        <v>8.8808458245277624</v>
      </c>
      <c r="AH104">
        <f t="shared" si="106"/>
        <v>76</v>
      </c>
      <c r="AI104">
        <f t="shared" si="79"/>
        <v>1.9537412000601591</v>
      </c>
      <c r="AJ104">
        <f t="shared" si="80"/>
        <v>0.199524446448959</v>
      </c>
      <c r="AK104">
        <f t="shared" si="81"/>
        <v>510.62148467467267</v>
      </c>
      <c r="AL104">
        <f t="shared" si="82"/>
        <v>495.88815789473682</v>
      </c>
      <c r="AM104">
        <f t="shared" si="83"/>
        <v>-1.1197328352751246</v>
      </c>
      <c r="AN104">
        <f t="shared" si="84"/>
        <v>-220.02750213156199</v>
      </c>
      <c r="AO104">
        <f t="shared" si="107"/>
        <v>200</v>
      </c>
      <c r="AP104">
        <f t="shared" si="85"/>
        <v>3.1091400537410818</v>
      </c>
      <c r="AQ104">
        <f t="shared" si="86"/>
        <v>36.231279253116462</v>
      </c>
      <c r="AR104">
        <f t="shared" si="87"/>
        <v>21.772396214971288</v>
      </c>
    </row>
    <row r="105" spans="1:44" ht="15.75" thickBot="1">
      <c r="A105" s="8">
        <v>168</v>
      </c>
      <c r="B105">
        <v>0</v>
      </c>
      <c r="D105" s="11"/>
      <c r="H105">
        <f t="shared" si="108"/>
        <v>66</v>
      </c>
      <c r="I105">
        <f t="shared" si="88"/>
        <v>1.5543814285878068</v>
      </c>
      <c r="J105">
        <f t="shared" si="89"/>
        <v>0.13253196705470832</v>
      </c>
      <c r="K105">
        <f t="shared" si="90"/>
        <v>255.7904346073862</v>
      </c>
      <c r="L105">
        <f t="shared" si="91"/>
        <v>571.02272727272725</v>
      </c>
      <c r="M105">
        <f t="shared" si="92"/>
        <v>20.805331315912511</v>
      </c>
      <c r="N105">
        <f t="shared" si="93"/>
        <v>4088.2476035768086</v>
      </c>
      <c r="O105">
        <f t="shared" si="109"/>
        <v>600</v>
      </c>
      <c r="P105">
        <f t="shared" si="94"/>
        <v>1.2440621060133918</v>
      </c>
      <c r="Q105">
        <f t="shared" si="95"/>
        <v>24.087553804094213</v>
      </c>
      <c r="R105">
        <f t="shared" si="96"/>
        <v>6.3025357464390552</v>
      </c>
      <c r="T105">
        <f t="shared" si="110"/>
        <v>64</v>
      </c>
      <c r="U105">
        <f t="shared" si="97"/>
        <v>2.2040642913178665</v>
      </c>
      <c r="V105">
        <f t="shared" si="98"/>
        <v>0.24929266001635525</v>
      </c>
      <c r="W105">
        <f t="shared" si="99"/>
        <v>452.42357221312591</v>
      </c>
      <c r="X105">
        <f t="shared" si="100"/>
        <v>588.8671875</v>
      </c>
      <c r="Y105">
        <f t="shared" si="101"/>
        <v>8.7323913783599423</v>
      </c>
      <c r="Z105">
        <f t="shared" si="102"/>
        <v>1715.9149058477287</v>
      </c>
      <c r="AA105">
        <f t="shared" si="111"/>
        <v>400</v>
      </c>
      <c r="AB105">
        <f t="shared" si="103"/>
        <v>1.4455403708398284</v>
      </c>
      <c r="AC105">
        <f t="shared" si="104"/>
        <v>34.013967728868643</v>
      </c>
      <c r="AD105">
        <f t="shared" si="105"/>
        <v>9.1673247220931735</v>
      </c>
      <c r="AH105">
        <f t="shared" si="106"/>
        <v>78</v>
      </c>
      <c r="AI105">
        <f t="shared" si="79"/>
        <v>1.8548338546264755</v>
      </c>
      <c r="AJ105">
        <f t="shared" si="80"/>
        <v>0.1815117788483892</v>
      </c>
      <c r="AK105">
        <f t="shared" si="81"/>
        <v>489.29390197307413</v>
      </c>
      <c r="AL105">
        <f t="shared" si="82"/>
        <v>483.17307692307691</v>
      </c>
      <c r="AM105">
        <f t="shared" si="83"/>
        <v>-0.47742435389978333</v>
      </c>
      <c r="AN105">
        <f t="shared" si="84"/>
        <v>-93.813885541307428</v>
      </c>
      <c r="AO105">
        <f t="shared" si="107"/>
        <v>200</v>
      </c>
      <c r="AP105">
        <f t="shared" si="85"/>
        <v>3.258172634326562</v>
      </c>
      <c r="AQ105">
        <f t="shared" si="86"/>
        <v>35.302272092780136</v>
      </c>
      <c r="AR105">
        <f t="shared" si="87"/>
        <v>22.34535401010211</v>
      </c>
    </row>
    <row r="106" spans="1:44" ht="15.75" thickBot="1">
      <c r="A106" s="38" t="s">
        <v>52</v>
      </c>
      <c r="B106" s="39"/>
      <c r="D106" s="11"/>
      <c r="H106">
        <f t="shared" si="108"/>
        <v>68</v>
      </c>
      <c r="I106">
        <f t="shared" si="88"/>
        <v>1.4642918475191362</v>
      </c>
      <c r="J106">
        <f t="shared" si="89"/>
        <v>0.11952794649061815</v>
      </c>
      <c r="K106">
        <f t="shared" si="90"/>
        <v>244.88549880229272</v>
      </c>
      <c r="L106">
        <f t="shared" si="91"/>
        <v>554.22794117647061</v>
      </c>
      <c r="M106">
        <f t="shared" si="92"/>
        <v>21.035286081444099</v>
      </c>
      <c r="N106">
        <f t="shared" si="93"/>
        <v>4133.4337150037654</v>
      </c>
      <c r="O106">
        <f t="shared" si="109"/>
        <v>600</v>
      </c>
      <c r="P106">
        <f t="shared" si="94"/>
        <v>1.2716745870734498</v>
      </c>
      <c r="Q106">
        <f t="shared" si="95"/>
        <v>23.379096339267914</v>
      </c>
      <c r="R106">
        <f t="shared" si="96"/>
        <v>6.4935216781493308</v>
      </c>
      <c r="T106">
        <f t="shared" si="110"/>
        <v>66</v>
      </c>
      <c r="U106">
        <f t="shared" si="97"/>
        <v>2.0725085714504092</v>
      </c>
      <c r="V106">
        <f t="shared" si="98"/>
        <v>0.22239016365281478</v>
      </c>
      <c r="W106">
        <f t="shared" si="99"/>
        <v>429.2192885787274</v>
      </c>
      <c r="X106">
        <f t="shared" si="100"/>
        <v>571.02272727272725</v>
      </c>
      <c r="Y106">
        <f t="shared" si="101"/>
        <v>9.3590269538039905</v>
      </c>
      <c r="Z106">
        <f t="shared" si="102"/>
        <v>1839.0487964224842</v>
      </c>
      <c r="AA106">
        <f t="shared" si="111"/>
        <v>400</v>
      </c>
      <c r="AB106">
        <f t="shared" si="103"/>
        <v>1.4940895816990261</v>
      </c>
      <c r="AC106">
        <f t="shared" si="104"/>
        <v>32.983241434054435</v>
      </c>
      <c r="AD106">
        <f t="shared" si="105"/>
        <v>9.4538036196585828</v>
      </c>
      <c r="AH106">
        <f t="shared" si="106"/>
        <v>80</v>
      </c>
      <c r="AI106">
        <f t="shared" si="79"/>
        <v>1.7632514330542932</v>
      </c>
      <c r="AJ106">
        <f t="shared" si="80"/>
        <v>0.16566730241046734</v>
      </c>
      <c r="AK106">
        <f t="shared" si="81"/>
        <v>469.77787542046531</v>
      </c>
      <c r="AL106">
        <f t="shared" si="82"/>
        <v>471.09375</v>
      </c>
      <c r="AM106">
        <f t="shared" si="83"/>
        <v>0.10526996636277546</v>
      </c>
      <c r="AN106">
        <f t="shared" si="84"/>
        <v>20.685548390285376</v>
      </c>
      <c r="AO106">
        <f t="shared" si="107"/>
        <v>200</v>
      </c>
      <c r="AP106">
        <f t="shared" si="85"/>
        <v>3.4118173592169021</v>
      </c>
      <c r="AQ106">
        <f t="shared" si="86"/>
        <v>34.41971529046063</v>
      </c>
      <c r="AR106">
        <f t="shared" si="87"/>
        <v>22.918311805232928</v>
      </c>
    </row>
    <row r="107" spans="1:44">
      <c r="A107" s="8" t="s">
        <v>19</v>
      </c>
      <c r="B107" t="s">
        <v>51</v>
      </c>
      <c r="C107" s="38" t="s">
        <v>53</v>
      </c>
      <c r="D107" s="40"/>
      <c r="H107">
        <f t="shared" si="108"/>
        <v>70</v>
      </c>
      <c r="I107">
        <f t="shared" si="88"/>
        <v>1.381813367944589</v>
      </c>
      <c r="J107">
        <f t="shared" si="89"/>
        <v>0.10830314762281495</v>
      </c>
      <c r="K107">
        <f t="shared" si="90"/>
        <v>235.13265279213434</v>
      </c>
      <c r="L107">
        <f t="shared" si="91"/>
        <v>538.39285714285711</v>
      </c>
      <c r="M107">
        <f t="shared" si="92"/>
        <v>21.228214304550594</v>
      </c>
      <c r="N107">
        <f t="shared" si="93"/>
        <v>4171.3441108441921</v>
      </c>
      <c r="O107">
        <f t="shared" si="109"/>
        <v>600</v>
      </c>
      <c r="P107">
        <f t="shared" si="94"/>
        <v>1.3011646233939096</v>
      </c>
      <c r="Q107">
        <f t="shared" si="95"/>
        <v>22.711122158145972</v>
      </c>
      <c r="R107">
        <f t="shared" si="96"/>
        <v>6.6845076098596055</v>
      </c>
      <c r="T107">
        <f t="shared" si="110"/>
        <v>68</v>
      </c>
      <c r="U107">
        <f t="shared" si="97"/>
        <v>1.952389130025515</v>
      </c>
      <c r="V107">
        <f t="shared" si="98"/>
        <v>0.19927190487221003</v>
      </c>
      <c r="W107">
        <f t="shared" si="99"/>
        <v>408.26268044138476</v>
      </c>
      <c r="X107">
        <f t="shared" si="100"/>
        <v>554.22794117647061</v>
      </c>
      <c r="Y107">
        <f t="shared" si="101"/>
        <v>9.9256377299858372</v>
      </c>
      <c r="Z107">
        <f t="shared" si="102"/>
        <v>1950.387813942217</v>
      </c>
      <c r="AA107">
        <f t="shared" si="111"/>
        <v>400</v>
      </c>
      <c r="AB107">
        <f t="shared" si="103"/>
        <v>1.5455101341204351</v>
      </c>
      <c r="AC107">
        <f t="shared" si="104"/>
        <v>32.013146097758721</v>
      </c>
      <c r="AD107">
        <f t="shared" si="105"/>
        <v>9.7402825172239957</v>
      </c>
      <c r="AH107">
        <f t="shared" si="106"/>
        <v>82</v>
      </c>
      <c r="AI107">
        <f t="shared" si="79"/>
        <v>1.6782880980885599</v>
      </c>
      <c r="AJ107">
        <f t="shared" si="80"/>
        <v>0.15168523847940302</v>
      </c>
      <c r="AK107">
        <f t="shared" si="81"/>
        <v>451.90464811184904</v>
      </c>
      <c r="AL107">
        <f t="shared" si="82"/>
        <v>459.60365853658539</v>
      </c>
      <c r="AM107">
        <f t="shared" si="83"/>
        <v>0.63131885482838013</v>
      </c>
      <c r="AN107">
        <f t="shared" si="84"/>
        <v>124.05415497377669</v>
      </c>
      <c r="AO107">
        <f t="shared" si="107"/>
        <v>200</v>
      </c>
      <c r="AP107">
        <f t="shared" si="85"/>
        <v>3.570030604324959</v>
      </c>
      <c r="AQ107">
        <f t="shared" si="86"/>
        <v>33.580210039473791</v>
      </c>
      <c r="AR107">
        <f t="shared" si="87"/>
        <v>23.491269600363761</v>
      </c>
    </row>
    <row r="108" spans="1:44">
      <c r="A108" s="8">
        <v>69</v>
      </c>
      <c r="B108">
        <f>$D$108*A108^2+$D$109*A108+$D$110</f>
        <v>13.010100000000001</v>
      </c>
      <c r="C108" s="8" t="s">
        <v>54</v>
      </c>
      <c r="D108" s="11">
        <f>-0.0015</f>
        <v>-1.5E-3</v>
      </c>
      <c r="H108">
        <f t="shared" si="108"/>
        <v>72</v>
      </c>
      <c r="I108">
        <f t="shared" si="88"/>
        <v>1.30611217263281</v>
      </c>
      <c r="J108">
        <f t="shared" si="89"/>
        <v>9.8573279786264678E-2</v>
      </c>
      <c r="K108">
        <f t="shared" si="90"/>
        <v>226.41228338198053</v>
      </c>
      <c r="L108">
        <f t="shared" si="91"/>
        <v>523.4375</v>
      </c>
      <c r="M108">
        <f t="shared" si="92"/>
        <v>21.385815596497402</v>
      </c>
      <c r="N108">
        <f t="shared" si="93"/>
        <v>4202.3127647117399</v>
      </c>
      <c r="O108">
        <f t="shared" si="109"/>
        <v>600</v>
      </c>
      <c r="P108">
        <f t="shared" si="94"/>
        <v>1.3325510428476883</v>
      </c>
      <c r="Q108">
        <f t="shared" si="95"/>
        <v>22.080257653753034</v>
      </c>
      <c r="R108">
        <f t="shared" si="96"/>
        <v>6.8754935415698792</v>
      </c>
      <c r="T108">
        <f t="shared" si="110"/>
        <v>70</v>
      </c>
      <c r="U108">
        <f t="shared" si="97"/>
        <v>1.8424178239261189</v>
      </c>
      <c r="V108">
        <f t="shared" si="98"/>
        <v>0.1793167068850044</v>
      </c>
      <c r="W108">
        <f t="shared" si="99"/>
        <v>389.3073646082899</v>
      </c>
      <c r="X108">
        <f t="shared" si="100"/>
        <v>538.39285714285711</v>
      </c>
      <c r="Y108">
        <f t="shared" si="101"/>
        <v>10.435984477419705</v>
      </c>
      <c r="Z108">
        <f t="shared" si="102"/>
        <v>2050.6709498129721</v>
      </c>
      <c r="AA108">
        <f t="shared" si="111"/>
        <v>400</v>
      </c>
      <c r="AB108">
        <f t="shared" si="103"/>
        <v>1.5997862665483105</v>
      </c>
      <c r="AC108">
        <f t="shared" si="104"/>
        <v>31.0984847806799</v>
      </c>
      <c r="AD108">
        <f t="shared" si="105"/>
        <v>10.026761414789407</v>
      </c>
      <c r="AH108">
        <f t="shared" si="106"/>
        <v>84</v>
      </c>
      <c r="AI108">
        <f t="shared" si="79"/>
        <v>1.5993210277136447</v>
      </c>
      <c r="AJ108">
        <f t="shared" si="80"/>
        <v>0.13930895761372458</v>
      </c>
      <c r="AK108">
        <f t="shared" si="81"/>
        <v>435.52531105302137</v>
      </c>
      <c r="AL108">
        <f t="shared" si="82"/>
        <v>448.66071428571428</v>
      </c>
      <c r="AM108">
        <f t="shared" si="83"/>
        <v>1.1033738715462043</v>
      </c>
      <c r="AN108">
        <f t="shared" si="84"/>
        <v>216.81296575882914</v>
      </c>
      <c r="AO108">
        <f t="shared" si="107"/>
        <v>200</v>
      </c>
      <c r="AP108">
        <f t="shared" si="85"/>
        <v>3.7327726221310709</v>
      </c>
      <c r="AQ108">
        <f t="shared" si="86"/>
        <v>32.780681229010121</v>
      </c>
      <c r="AR108">
        <f t="shared" si="87"/>
        <v>24.064227395494576</v>
      </c>
    </row>
    <row r="109" spans="1:44">
      <c r="A109" s="8">
        <f>A108+7</f>
        <v>76</v>
      </c>
      <c r="B109">
        <f t="shared" ref="B109:B117" si="112">$D$108*A109^2+$D$109*A109+$D$110</f>
        <v>13.050700000000001</v>
      </c>
      <c r="C109" s="8" t="s">
        <v>37</v>
      </c>
      <c r="D109" s="11">
        <v>0.2233</v>
      </c>
      <c r="H109">
        <f t="shared" si="108"/>
        <v>74</v>
      </c>
      <c r="I109">
        <f t="shared" si="88"/>
        <v>1.2364655775983358</v>
      </c>
      <c r="J109">
        <f t="shared" si="89"/>
        <v>9.0105664828948384E-2</v>
      </c>
      <c r="K109">
        <f t="shared" si="90"/>
        <v>218.62071972266202</v>
      </c>
      <c r="L109">
        <f t="shared" si="91"/>
        <v>509.29054054054052</v>
      </c>
      <c r="M109">
        <f t="shared" si="92"/>
        <v>21.509566740523013</v>
      </c>
      <c r="N109">
        <f t="shared" si="93"/>
        <v>4226.6298645127717</v>
      </c>
      <c r="O109">
        <f t="shared" si="109"/>
        <v>600</v>
      </c>
      <c r="P109">
        <f t="shared" si="94"/>
        <v>1.3658471532400556</v>
      </c>
      <c r="Q109">
        <f t="shared" si="95"/>
        <v>21.483493933381325</v>
      </c>
      <c r="R109">
        <f t="shared" si="96"/>
        <v>7.066479473280153</v>
      </c>
      <c r="T109">
        <f t="shared" si="110"/>
        <v>72</v>
      </c>
      <c r="U109">
        <f t="shared" si="97"/>
        <v>1.7414828968437466</v>
      </c>
      <c r="V109">
        <f t="shared" si="98"/>
        <v>0.16201916406447053</v>
      </c>
      <c r="W109">
        <f t="shared" si="99"/>
        <v>372.1406953995658</v>
      </c>
      <c r="X109">
        <f t="shared" si="100"/>
        <v>523.4375</v>
      </c>
      <c r="Y109">
        <f t="shared" si="101"/>
        <v>10.893369931231263</v>
      </c>
      <c r="Z109">
        <f t="shared" si="102"/>
        <v>2140.5471914869431</v>
      </c>
      <c r="AA109">
        <f t="shared" si="111"/>
        <v>400</v>
      </c>
      <c r="AB109">
        <f t="shared" si="103"/>
        <v>1.6568969895674079</v>
      </c>
      <c r="AC109">
        <f t="shared" si="104"/>
        <v>30.234637981216572</v>
      </c>
      <c r="AD109">
        <f t="shared" si="105"/>
        <v>10.31324031235482</v>
      </c>
      <c r="AH109">
        <f t="shared" si="106"/>
        <v>86</v>
      </c>
      <c r="AI109">
        <f t="shared" si="79"/>
        <v>1.525798968570508</v>
      </c>
      <c r="AJ109">
        <f t="shared" si="80"/>
        <v>0.12832215480538248</v>
      </c>
      <c r="AK109">
        <f t="shared" si="81"/>
        <v>420.508066425045</v>
      </c>
      <c r="AL109">
        <f t="shared" si="82"/>
        <v>438.22674418604652</v>
      </c>
      <c r="AM109">
        <f t="shared" si="83"/>
        <v>1.5238062874461302</v>
      </c>
      <c r="AN109">
        <f t="shared" si="84"/>
        <v>299.42793548316462</v>
      </c>
      <c r="AO109">
        <f t="shared" si="107"/>
        <v>200</v>
      </c>
      <c r="AP109">
        <f t="shared" si="85"/>
        <v>3.9000072191510955</v>
      </c>
      <c r="AQ109">
        <f t="shared" si="86"/>
        <v>32.018339805079663</v>
      </c>
      <c r="AR109">
        <f t="shared" si="87"/>
        <v>24.637185190625402</v>
      </c>
    </row>
    <row r="110" spans="1:44" ht="15.75" thickBot="1">
      <c r="A110" s="8">
        <f t="shared" ref="A110:A118" si="113">A109+7</f>
        <v>83</v>
      </c>
      <c r="B110">
        <f t="shared" si="112"/>
        <v>12.944299999999998</v>
      </c>
      <c r="C110" s="19" t="s">
        <v>55</v>
      </c>
      <c r="D110" s="20">
        <v>4.7439</v>
      </c>
      <c r="H110">
        <f t="shared" si="108"/>
        <v>76</v>
      </c>
      <c r="I110">
        <f t="shared" si="88"/>
        <v>1.1722447200360955</v>
      </c>
      <c r="J110">
        <f t="shared" si="89"/>
        <v>8.2708800721625231E-2</v>
      </c>
      <c r="K110">
        <f t="shared" si="90"/>
        <v>211.66774985110234</v>
      </c>
      <c r="L110">
        <f t="shared" si="91"/>
        <v>495.88815789473682</v>
      </c>
      <c r="M110">
        <f t="shared" si="92"/>
        <v>21.60075101131622</v>
      </c>
      <c r="N110">
        <f t="shared" si="93"/>
        <v>4244.5475737236375</v>
      </c>
      <c r="O110">
        <f t="shared" si="109"/>
        <v>600</v>
      </c>
      <c r="P110">
        <f t="shared" si="94"/>
        <v>1.4010611801130162</v>
      </c>
      <c r="Q110">
        <f t="shared" si="95"/>
        <v>20.918138829871292</v>
      </c>
      <c r="R110">
        <f t="shared" si="96"/>
        <v>7.2574654049904304</v>
      </c>
      <c r="T110">
        <f t="shared" si="110"/>
        <v>74</v>
      </c>
      <c r="U110">
        <f t="shared" si="97"/>
        <v>1.6486207701311142</v>
      </c>
      <c r="V110">
        <f t="shared" si="98"/>
        <v>0.14696562636257487</v>
      </c>
      <c r="W110">
        <f t="shared" si="99"/>
        <v>356.57836908335628</v>
      </c>
      <c r="X110">
        <f t="shared" si="100"/>
        <v>509.29054054054052</v>
      </c>
      <c r="Y110">
        <f t="shared" si="101"/>
        <v>11.300700687831633</v>
      </c>
      <c r="Z110">
        <f t="shared" si="102"/>
        <v>2220.587685158916</v>
      </c>
      <c r="AA110">
        <f t="shared" si="111"/>
        <v>400</v>
      </c>
      <c r="AB110">
        <f t="shared" si="103"/>
        <v>1.7168172597954097</v>
      </c>
      <c r="AC110">
        <f t="shared" si="104"/>
        <v>29.417485603345852</v>
      </c>
      <c r="AD110">
        <f t="shared" si="105"/>
        <v>10.599719209920231</v>
      </c>
      <c r="AH110">
        <f t="shared" si="106"/>
        <v>88</v>
      </c>
      <c r="AI110">
        <f t="shared" si="79"/>
        <v>1.4572325893010689</v>
      </c>
      <c r="AJ110">
        <f t="shared" si="80"/>
        <v>0.11854176791917721</v>
      </c>
      <c r="AK110">
        <f t="shared" si="81"/>
        <v>406.73592118892049</v>
      </c>
      <c r="AL110">
        <f t="shared" si="82"/>
        <v>428.26704545454544</v>
      </c>
      <c r="AM110">
        <f t="shared" si="83"/>
        <v>1.8947389353749959</v>
      </c>
      <c r="AN110">
        <f t="shared" si="84"/>
        <v>372.31620080118671</v>
      </c>
      <c r="AO110">
        <f t="shared" si="107"/>
        <v>200</v>
      </c>
      <c r="AP110">
        <f t="shared" si="85"/>
        <v>4.0717014467927806</v>
      </c>
      <c r="AQ110">
        <f t="shared" si="86"/>
        <v>31.290650264055124</v>
      </c>
      <c r="AR110">
        <f t="shared" si="87"/>
        <v>25.210142985756224</v>
      </c>
    </row>
    <row r="111" spans="1:44">
      <c r="A111" s="8">
        <f t="shared" si="113"/>
        <v>90</v>
      </c>
      <c r="B111">
        <f t="shared" si="112"/>
        <v>12.690900000000001</v>
      </c>
      <c r="D111" s="11"/>
      <c r="H111">
        <f t="shared" si="108"/>
        <v>78</v>
      </c>
      <c r="I111">
        <f t="shared" si="88"/>
        <v>1.1129003127758852</v>
      </c>
      <c r="J111">
        <f t="shared" si="89"/>
        <v>7.6224240385420111E-2</v>
      </c>
      <c r="K111">
        <f t="shared" si="90"/>
        <v>205.47457713071037</v>
      </c>
      <c r="L111">
        <f t="shared" si="91"/>
        <v>483.17307692307691</v>
      </c>
      <c r="M111">
        <f t="shared" si="92"/>
        <v>21.660482983804588</v>
      </c>
      <c r="N111">
        <f t="shared" si="93"/>
        <v>4256.2849063176018</v>
      </c>
      <c r="O111">
        <f t="shared" si="109"/>
        <v>600</v>
      </c>
      <c r="P111">
        <f t="shared" si="94"/>
        <v>1.4381967457384686</v>
      </c>
      <c r="Q111">
        <f t="shared" si="95"/>
        <v>20.381776295772028</v>
      </c>
      <c r="R111">
        <f t="shared" si="96"/>
        <v>7.4484513367007033</v>
      </c>
      <c r="T111">
        <f t="shared" si="110"/>
        <v>76</v>
      </c>
      <c r="U111">
        <f t="shared" si="97"/>
        <v>1.5629929600481272</v>
      </c>
      <c r="V111">
        <f t="shared" si="98"/>
        <v>0.13381564572733373</v>
      </c>
      <c r="W111">
        <f t="shared" si="99"/>
        <v>342.46000883641432</v>
      </c>
      <c r="X111">
        <f t="shared" si="100"/>
        <v>495.88815789473682</v>
      </c>
      <c r="Y111">
        <f t="shared" si="101"/>
        <v>11.660539328432511</v>
      </c>
      <c r="Z111">
        <f t="shared" si="102"/>
        <v>2291.2959780369883</v>
      </c>
      <c r="AA111">
        <f t="shared" si="111"/>
        <v>400</v>
      </c>
      <c r="AB111">
        <f t="shared" si="103"/>
        <v>1.7795190272779535</v>
      </c>
      <c r="AC111">
        <f t="shared" si="104"/>
        <v>28.643341245363068</v>
      </c>
      <c r="AD111">
        <f t="shared" si="105"/>
        <v>10.886198107485642</v>
      </c>
      <c r="AH111">
        <f t="shared" si="106"/>
        <v>90</v>
      </c>
      <c r="AI111">
        <f t="shared" si="79"/>
        <v>1.3931863174749972</v>
      </c>
      <c r="AJ111">
        <f t="shared" si="80"/>
        <v>0.10981226500126114</v>
      </c>
      <c r="AK111">
        <f t="shared" si="81"/>
        <v>394.10473539635478</v>
      </c>
      <c r="AL111">
        <f t="shared" si="82"/>
        <v>418.75</v>
      </c>
      <c r="AM111">
        <f t="shared" si="83"/>
        <v>2.2180738143280694</v>
      </c>
      <c r="AN111">
        <f t="shared" si="84"/>
        <v>435.85150451546565</v>
      </c>
      <c r="AO111">
        <f t="shared" si="107"/>
        <v>200</v>
      </c>
      <c r="AP111">
        <f t="shared" si="85"/>
        <v>4.2478253099259904</v>
      </c>
      <c r="AQ111">
        <f t="shared" si="86"/>
        <v>30.595302480409451</v>
      </c>
      <c r="AR111">
        <f t="shared" si="87"/>
        <v>25.783100780887047</v>
      </c>
    </row>
    <row r="112" spans="1:44">
      <c r="A112" s="8">
        <f t="shared" si="113"/>
        <v>97</v>
      </c>
      <c r="B112">
        <f t="shared" si="112"/>
        <v>12.2905</v>
      </c>
      <c r="D112" s="11"/>
      <c r="H112">
        <f t="shared" si="108"/>
        <v>80</v>
      </c>
      <c r="I112">
        <f t="shared" si="88"/>
        <v>1.057950859832576</v>
      </c>
      <c r="J112">
        <f t="shared" si="89"/>
        <v>7.052022886776825E-2</v>
      </c>
      <c r="K112">
        <f t="shared" si="90"/>
        <v>199.9721297421932</v>
      </c>
      <c r="L112">
        <f t="shared" si="91"/>
        <v>471.09375</v>
      </c>
      <c r="M112">
        <f t="shared" si="92"/>
        <v>21.689729620624544</v>
      </c>
      <c r="N112">
        <f t="shared" si="93"/>
        <v>4262.0318704527226</v>
      </c>
      <c r="O112">
        <f t="shared" si="109"/>
        <v>600</v>
      </c>
      <c r="P112">
        <f t="shared" si="94"/>
        <v>1.4772533707546505</v>
      </c>
      <c r="Q112">
        <f t="shared" si="95"/>
        <v>19.872231888377726</v>
      </c>
      <c r="R112">
        <f t="shared" si="96"/>
        <v>7.6394372684109735</v>
      </c>
      <c r="T112">
        <f t="shared" si="110"/>
        <v>78</v>
      </c>
      <c r="U112">
        <f t="shared" si="97"/>
        <v>1.4838670837011805</v>
      </c>
      <c r="V112">
        <f t="shared" si="98"/>
        <v>0.12228753846296912</v>
      </c>
      <c r="W112">
        <f t="shared" si="99"/>
        <v>329.64553174924464</v>
      </c>
      <c r="X112">
        <f t="shared" si="100"/>
        <v>483.17307692307691</v>
      </c>
      <c r="Y112">
        <f t="shared" si="101"/>
        <v>11.975148523558918</v>
      </c>
      <c r="Z112">
        <f t="shared" si="102"/>
        <v>2353.1166848793273</v>
      </c>
      <c r="AA112">
        <f t="shared" si="111"/>
        <v>400</v>
      </c>
      <c r="AB112">
        <f t="shared" si="103"/>
        <v>1.8449721485075654</v>
      </c>
      <c r="AC112">
        <f t="shared" si="104"/>
        <v>27.908896598046066</v>
      </c>
      <c r="AD112">
        <f t="shared" si="105"/>
        <v>11.172677005051055</v>
      </c>
      <c r="AH112">
        <f t="shared" si="106"/>
        <v>92</v>
      </c>
      <c r="AI112">
        <f t="shared" si="79"/>
        <v>1.3332714049559875</v>
      </c>
      <c r="AJ112">
        <f t="shared" si="80"/>
        <v>0.10200101266674569</v>
      </c>
      <c r="AK112">
        <f t="shared" si="81"/>
        <v>382.5215642051246</v>
      </c>
      <c r="AL112">
        <f t="shared" si="82"/>
        <v>409.64673913043481</v>
      </c>
      <c r="AM112">
        <f t="shared" si="83"/>
        <v>2.4955160931285389</v>
      </c>
      <c r="AN112">
        <f t="shared" si="84"/>
        <v>490.36891229975788</v>
      </c>
      <c r="AO112">
        <f t="shared" si="107"/>
        <v>200</v>
      </c>
      <c r="AP112">
        <f t="shared" si="85"/>
        <v>4.4283514954847556</v>
      </c>
      <c r="AQ112">
        <f t="shared" si="86"/>
        <v>29.930187209096207</v>
      </c>
      <c r="AR112">
        <f t="shared" si="87"/>
        <v>26.356058576017872</v>
      </c>
    </row>
    <row r="113" spans="1:44">
      <c r="A113" s="8">
        <f t="shared" si="113"/>
        <v>104</v>
      </c>
      <c r="B113">
        <f t="shared" si="112"/>
        <v>11.743099999999998</v>
      </c>
      <c r="D113" s="11"/>
      <c r="H113">
        <f t="shared" si="108"/>
        <v>82</v>
      </c>
      <c r="I113">
        <f t="shared" si="88"/>
        <v>1.0069728588531359</v>
      </c>
      <c r="J113">
        <f t="shared" si="89"/>
        <v>6.5486685852585089E-2</v>
      </c>
      <c r="K113">
        <f t="shared" si="90"/>
        <v>195.09965519975191</v>
      </c>
      <c r="L113">
        <f t="shared" si="91"/>
        <v>459.60365853658539</v>
      </c>
      <c r="M113">
        <f t="shared" si="92"/>
        <v>21.689328273620344</v>
      </c>
      <c r="N113">
        <f t="shared" si="93"/>
        <v>4261.9530057663978</v>
      </c>
      <c r="O113">
        <f t="shared" si="109"/>
        <v>600</v>
      </c>
      <c r="P113">
        <f t="shared" si="94"/>
        <v>1.5182269818522172</v>
      </c>
      <c r="Q113">
        <f t="shared" si="95"/>
        <v>19.387543305734372</v>
      </c>
      <c r="R113">
        <f t="shared" si="96"/>
        <v>7.8304232001212535</v>
      </c>
      <c r="T113">
        <f t="shared" si="110"/>
        <v>80</v>
      </c>
      <c r="U113">
        <f t="shared" si="97"/>
        <v>1.4106011464434345</v>
      </c>
      <c r="V113">
        <f t="shared" si="98"/>
        <v>0.11214707354269908</v>
      </c>
      <c r="W113">
        <f t="shared" si="99"/>
        <v>318.01214347643719</v>
      </c>
      <c r="X113">
        <f t="shared" si="100"/>
        <v>471.09375</v>
      </c>
      <c r="Y113">
        <f t="shared" si="101"/>
        <v>12.246528521885025</v>
      </c>
      <c r="Z113">
        <f t="shared" si="102"/>
        <v>2406.4428545504074</v>
      </c>
      <c r="AA113">
        <f t="shared" si="111"/>
        <v>400</v>
      </c>
      <c r="AB113">
        <f t="shared" si="103"/>
        <v>1.9131451652092293</v>
      </c>
      <c r="AC113">
        <f t="shared" si="104"/>
        <v>27.211174183094911</v>
      </c>
      <c r="AD113">
        <f t="shared" si="105"/>
        <v>11.459155902616466</v>
      </c>
      <c r="AH113">
        <f t="shared" si="106"/>
        <v>94</v>
      </c>
      <c r="AI113">
        <f t="shared" si="79"/>
        <v>1.277140014887673</v>
      </c>
      <c r="AJ113">
        <f t="shared" si="80"/>
        <v>9.4994502954352258E-2</v>
      </c>
      <c r="AK113">
        <f t="shared" si="81"/>
        <v>371.90324415098382</v>
      </c>
      <c r="AL113">
        <f t="shared" si="82"/>
        <v>400.93085106382978</v>
      </c>
      <c r="AM113">
        <f t="shared" si="83"/>
        <v>2.7285950498075198</v>
      </c>
      <c r="AN113">
        <f t="shared" si="84"/>
        <v>536.16892728717767</v>
      </c>
      <c r="AO113">
        <f t="shared" si="107"/>
        <v>200</v>
      </c>
      <c r="AP113">
        <f t="shared" si="85"/>
        <v>4.6132551220211226</v>
      </c>
      <c r="AQ113">
        <f t="shared" si="86"/>
        <v>29.293374715285644</v>
      </c>
      <c r="AR113">
        <f t="shared" si="87"/>
        <v>26.929016371148691</v>
      </c>
    </row>
    <row r="114" spans="1:44">
      <c r="A114" s="8">
        <f t="shared" si="113"/>
        <v>111</v>
      </c>
      <c r="B114">
        <f t="shared" si="112"/>
        <v>11.0487</v>
      </c>
      <c r="D114" s="11"/>
      <c r="H114">
        <f t="shared" si="108"/>
        <v>84</v>
      </c>
      <c r="I114">
        <f t="shared" si="88"/>
        <v>0.95959261662818685</v>
      </c>
      <c r="J114">
        <f t="shared" si="89"/>
        <v>6.1031224740940859E-2</v>
      </c>
      <c r="K114">
        <f t="shared" si="90"/>
        <v>190.80354626547305</v>
      </c>
      <c r="L114">
        <f t="shared" si="91"/>
        <v>448.66071428571428</v>
      </c>
      <c r="M114">
        <f t="shared" si="92"/>
        <v>21.660002113700266</v>
      </c>
      <c r="N114">
        <f t="shared" si="93"/>
        <v>4256.1904153421019</v>
      </c>
      <c r="O114">
        <f t="shared" si="109"/>
        <v>600</v>
      </c>
      <c r="P114">
        <f t="shared" si="94"/>
        <v>1.5611104113750167</v>
      </c>
      <c r="Q114">
        <f t="shared" si="95"/>
        <v>18.925935131788311</v>
      </c>
      <c r="R114">
        <f t="shared" si="96"/>
        <v>8.0214091318315237</v>
      </c>
      <c r="T114">
        <f t="shared" si="110"/>
        <v>82</v>
      </c>
      <c r="U114">
        <f t="shared" si="97"/>
        <v>1.342630478470848</v>
      </c>
      <c r="V114">
        <f t="shared" si="98"/>
        <v>0.10319855262681796</v>
      </c>
      <c r="W114">
        <f t="shared" si="99"/>
        <v>307.45183959879444</v>
      </c>
      <c r="X114">
        <f t="shared" si="100"/>
        <v>459.60365853658539</v>
      </c>
      <c r="Y114">
        <f t="shared" si="101"/>
        <v>12.476449152898859</v>
      </c>
      <c r="Z114">
        <f t="shared" si="102"/>
        <v>2451.6222585446258</v>
      </c>
      <c r="AA114">
        <f t="shared" si="111"/>
        <v>400</v>
      </c>
      <c r="AB114">
        <f t="shared" si="103"/>
        <v>1.984005954868636</v>
      </c>
      <c r="AC114">
        <f t="shared" si="104"/>
        <v>26.54748700789748</v>
      </c>
      <c r="AD114">
        <f t="shared" si="105"/>
        <v>11.745634800181881</v>
      </c>
      <c r="AH114">
        <f t="shared" si="106"/>
        <v>96</v>
      </c>
      <c r="AI114">
        <f t="shared" si="79"/>
        <v>1.2244801618432593</v>
      </c>
      <c r="AJ114">
        <f t="shared" si="80"/>
        <v>8.8695265437146675E-2</v>
      </c>
      <c r="AK114">
        <f t="shared" si="81"/>
        <v>362.17518340039959</v>
      </c>
      <c r="AL114">
        <f t="shared" si="82"/>
        <v>392.578125</v>
      </c>
      <c r="AM114">
        <f t="shared" si="83"/>
        <v>2.9186823935616393</v>
      </c>
      <c r="AN114">
        <f t="shared" si="84"/>
        <v>573.52109033486215</v>
      </c>
      <c r="AO114">
        <f t="shared" si="107"/>
        <v>200</v>
      </c>
      <c r="AP114">
        <f t="shared" si="85"/>
        <v>4.8025135101826537</v>
      </c>
      <c r="AQ114">
        <f t="shared" si="86"/>
        <v>28.683096075383862</v>
      </c>
      <c r="AR114">
        <f t="shared" si="87"/>
        <v>27.501974166279521</v>
      </c>
    </row>
    <row r="115" spans="1:44">
      <c r="A115" s="8">
        <f t="shared" si="113"/>
        <v>118</v>
      </c>
      <c r="B115">
        <f t="shared" si="112"/>
        <v>10.2073</v>
      </c>
      <c r="D115" s="11"/>
      <c r="H115">
        <f t="shared" si="108"/>
        <v>86</v>
      </c>
      <c r="I115">
        <f t="shared" si="88"/>
        <v>0.91547938114230476</v>
      </c>
      <c r="J115">
        <f t="shared" si="89"/>
        <v>5.7075975729937688E-2</v>
      </c>
      <c r="K115">
        <f t="shared" si="90"/>
        <v>187.03635572453913</v>
      </c>
      <c r="L115">
        <f t="shared" si="91"/>
        <v>438.22674418604652</v>
      </c>
      <c r="M115">
        <f t="shared" si="92"/>
        <v>21.602373407689637</v>
      </c>
      <c r="N115">
        <f t="shared" si="93"/>
        <v>4244.8663746110133</v>
      </c>
      <c r="O115">
        <f t="shared" si="109"/>
        <v>600</v>
      </c>
      <c r="P115">
        <f t="shared" si="94"/>
        <v>1.6058938774066909</v>
      </c>
      <c r="Q115">
        <f t="shared" si="95"/>
        <v>18.485797105467654</v>
      </c>
      <c r="R115">
        <f t="shared" si="96"/>
        <v>8.2123950635418019</v>
      </c>
      <c r="T115">
        <f t="shared" si="110"/>
        <v>84</v>
      </c>
      <c r="U115">
        <f t="shared" si="97"/>
        <v>1.2794568221709157</v>
      </c>
      <c r="V115">
        <f t="shared" si="98"/>
        <v>9.5277732872783738E-2</v>
      </c>
      <c r="W115">
        <f t="shared" si="99"/>
        <v>297.86931836002543</v>
      </c>
      <c r="X115">
        <f t="shared" si="100"/>
        <v>448.66071428571428</v>
      </c>
      <c r="Y115">
        <f t="shared" si="101"/>
        <v>12.666477257757862</v>
      </c>
      <c r="Z115">
        <f t="shared" si="102"/>
        <v>2488.9627811494197</v>
      </c>
      <c r="AA115">
        <f t="shared" si="111"/>
        <v>400</v>
      </c>
      <c r="AB115">
        <f t="shared" si="103"/>
        <v>2.0575222628522924</v>
      </c>
      <c r="AC115">
        <f t="shared" si="104"/>
        <v>25.915403983899914</v>
      </c>
      <c r="AD115">
        <f t="shared" si="105"/>
        <v>12.032113697747288</v>
      </c>
      <c r="AH115">
        <f t="shared" si="106"/>
        <v>98</v>
      </c>
      <c r="AI115">
        <f t="shared" si="79"/>
        <v>1.1750113672998208</v>
      </c>
      <c r="AJ115">
        <f t="shared" si="80"/>
        <v>8.3019329057637287E-2</v>
      </c>
      <c r="AK115">
        <f t="shared" si="81"/>
        <v>353.27032302851649</v>
      </c>
      <c r="AL115">
        <f t="shared" si="82"/>
        <v>384.56632653061223</v>
      </c>
      <c r="AM115">
        <f t="shared" si="83"/>
        <v>3.0670083432053832</v>
      </c>
      <c r="AN115">
        <f t="shared" si="84"/>
        <v>602.66713943985781</v>
      </c>
      <c r="AO115">
        <f t="shared" si="107"/>
        <v>200</v>
      </c>
      <c r="AP115">
        <f t="shared" si="85"/>
        <v>4.996105973464652</v>
      </c>
      <c r="AQ115">
        <f t="shared" si="86"/>
        <v>28.097726767722971</v>
      </c>
      <c r="AR115">
        <f t="shared" si="87"/>
        <v>28.074931961410346</v>
      </c>
    </row>
    <row r="116" spans="1:44">
      <c r="A116" s="8">
        <f t="shared" si="113"/>
        <v>125</v>
      </c>
      <c r="B116">
        <f t="shared" si="112"/>
        <v>9.2189000000000014</v>
      </c>
      <c r="D116" s="11"/>
      <c r="H116" s="24">
        <f t="shared" si="108"/>
        <v>88</v>
      </c>
      <c r="I116" s="24">
        <f t="shared" si="88"/>
        <v>0.8743395535806413</v>
      </c>
      <c r="J116" s="24">
        <f t="shared" si="89"/>
        <v>5.3555036450903794E-2</v>
      </c>
      <c r="K116" s="24">
        <f t="shared" si="90"/>
        <v>183.75596608291045</v>
      </c>
      <c r="L116" s="24">
        <f t="shared" si="91"/>
        <v>428.26704545454544</v>
      </c>
      <c r="M116" s="24">
        <f t="shared" si="92"/>
        <v>21.516974984703879</v>
      </c>
      <c r="N116" s="24">
        <f t="shared" si="93"/>
        <v>4228.0855844943126</v>
      </c>
      <c r="O116" s="24">
        <f t="shared" si="109"/>
        <v>600</v>
      </c>
      <c r="P116" s="24">
        <f t="shared" si="94"/>
        <v>1.6525654356455877</v>
      </c>
      <c r="Q116" s="24">
        <f t="shared" si="95"/>
        <v>18.065665353070663</v>
      </c>
      <c r="R116" s="24">
        <f t="shared" si="96"/>
        <v>8.4033809952520748</v>
      </c>
      <c r="T116">
        <f t="shared" si="110"/>
        <v>86</v>
      </c>
      <c r="U116">
        <f t="shared" si="97"/>
        <v>1.2206391748564063</v>
      </c>
      <c r="V116">
        <f t="shared" si="98"/>
        <v>8.8246179075444769E-2</v>
      </c>
      <c r="W116">
        <f t="shared" si="99"/>
        <v>289.18022915601045</v>
      </c>
      <c r="X116">
        <f t="shared" si="100"/>
        <v>438.22674418604652</v>
      </c>
      <c r="Y116">
        <f t="shared" si="101"/>
        <v>12.8180002925831</v>
      </c>
      <c r="Z116">
        <f t="shared" si="102"/>
        <v>2518.7370574925794</v>
      </c>
      <c r="AA116">
        <f t="shared" si="111"/>
        <v>400</v>
      </c>
      <c r="AB116">
        <f t="shared" si="103"/>
        <v>2.133662128210009</v>
      </c>
      <c r="AC116">
        <f t="shared" si="104"/>
        <v>25.312720170320851</v>
      </c>
      <c r="AD116">
        <f t="shared" si="105"/>
        <v>12.318592595312701</v>
      </c>
      <c r="AH116">
        <f t="shared" si="106"/>
        <v>100</v>
      </c>
      <c r="AI116">
        <f t="shared" si="79"/>
        <v>1.1284809171547476</v>
      </c>
      <c r="AJ116">
        <f t="shared" si="80"/>
        <v>7.7894127067327415E-2</v>
      </c>
      <c r="AK116">
        <f t="shared" si="81"/>
        <v>345.12824223790511</v>
      </c>
      <c r="AL116">
        <f t="shared" si="82"/>
        <v>376.875</v>
      </c>
      <c r="AM116">
        <f t="shared" si="83"/>
        <v>3.1746757762094884</v>
      </c>
      <c r="AN116">
        <f t="shared" si="84"/>
        <v>623.8237900251645</v>
      </c>
      <c r="AO116">
        <f t="shared" si="107"/>
        <v>200</v>
      </c>
      <c r="AP116">
        <f t="shared" si="85"/>
        <v>5.1940136282027174</v>
      </c>
      <c r="AQ116">
        <f t="shared" si="86"/>
        <v>27.535772232368505</v>
      </c>
      <c r="AR116">
        <f t="shared" si="87"/>
        <v>28.647889756541165</v>
      </c>
    </row>
    <row r="117" spans="1:44" ht="15.75" thickBot="1">
      <c r="A117" s="8">
        <f t="shared" si="113"/>
        <v>132</v>
      </c>
      <c r="B117" s="25">
        <f t="shared" si="112"/>
        <v>8.0835000000000008</v>
      </c>
      <c r="C117" s="25"/>
      <c r="D117" s="20"/>
      <c r="H117">
        <f t="shared" si="108"/>
        <v>90</v>
      </c>
      <c r="I117">
        <f t="shared" si="88"/>
        <v>0.83591179048499831</v>
      </c>
      <c r="J117">
        <f t="shared" si="89"/>
        <v>5.0412415400454012E-2</v>
      </c>
      <c r="K117">
        <f t="shared" si="90"/>
        <v>180.9248869592015</v>
      </c>
      <c r="L117">
        <f t="shared" si="91"/>
        <v>418.75</v>
      </c>
      <c r="M117">
        <f t="shared" si="92"/>
        <v>21.404260173671865</v>
      </c>
      <c r="N117">
        <f t="shared" si="93"/>
        <v>4205.9371241265217</v>
      </c>
      <c r="O117">
        <f t="shared" si="109"/>
        <v>600</v>
      </c>
      <c r="P117">
        <f t="shared" si="94"/>
        <v>1.7011113969548732</v>
      </c>
      <c r="Q117">
        <f t="shared" si="95"/>
        <v>17.664206123002426</v>
      </c>
      <c r="R117">
        <f t="shared" si="96"/>
        <v>8.5943669269623495</v>
      </c>
      <c r="T117">
        <f t="shared" si="110"/>
        <v>88</v>
      </c>
      <c r="U117">
        <f t="shared" si="97"/>
        <v>1.1657860714408552</v>
      </c>
      <c r="V117">
        <f t="shared" si="98"/>
        <v>8.1986731468273427E-2</v>
      </c>
      <c r="W117">
        <f t="shared" si="99"/>
        <v>281.30969644178987</v>
      </c>
      <c r="X117">
        <f t="shared" si="100"/>
        <v>428.26704545454544</v>
      </c>
      <c r="Y117">
        <f t="shared" si="101"/>
        <v>12.932246713122492</v>
      </c>
      <c r="Z117">
        <f t="shared" si="102"/>
        <v>2541.1864791285698</v>
      </c>
      <c r="AA117">
        <f t="shared" si="111"/>
        <v>400</v>
      </c>
      <c r="AB117">
        <f t="shared" si="103"/>
        <v>2.2123942162177168</v>
      </c>
      <c r="AC117">
        <f t="shared" si="104"/>
        <v>24.737431075540833</v>
      </c>
      <c r="AD117">
        <f t="shared" si="105"/>
        <v>12.605071492878112</v>
      </c>
      <c r="AH117">
        <f t="shared" si="106"/>
        <v>102</v>
      </c>
      <c r="AI117">
        <f t="shared" si="79"/>
        <v>1.0846606277919528</v>
      </c>
      <c r="AJ117">
        <f t="shared" si="80"/>
        <v>7.3256760763027784E-2</v>
      </c>
      <c r="AK117">
        <f t="shared" si="81"/>
        <v>337.6943851652328</v>
      </c>
      <c r="AL117">
        <f t="shared" si="82"/>
        <v>369.48529411764707</v>
      </c>
      <c r="AM117">
        <f t="shared" si="83"/>
        <v>3.2426727131462556</v>
      </c>
      <c r="AN117">
        <f t="shared" si="84"/>
        <v>637.18518813323919</v>
      </c>
      <c r="AO117">
        <f t="shared" si="107"/>
        <v>200</v>
      </c>
      <c r="AP117">
        <f t="shared" si="85"/>
        <v>5.3962192215519318</v>
      </c>
      <c r="AQ117">
        <f t="shared" si="86"/>
        <v>26.995855129773044</v>
      </c>
      <c r="AR117">
        <f t="shared" si="87"/>
        <v>29.22084755167198</v>
      </c>
    </row>
    <row r="118" spans="1:44" ht="15.75" thickBot="1">
      <c r="A118" s="8">
        <f t="shared" si="113"/>
        <v>139</v>
      </c>
      <c r="B118" s="25">
        <v>0</v>
      </c>
      <c r="H118">
        <f t="shared" si="108"/>
        <v>92</v>
      </c>
      <c r="I118">
        <f t="shared" si="88"/>
        <v>0.79996284297359244</v>
      </c>
      <c r="J118">
        <f t="shared" si="89"/>
        <v>4.7600364560028446E-2</v>
      </c>
      <c r="K118">
        <f t="shared" si="90"/>
        <v>178.50965821021182</v>
      </c>
      <c r="L118">
        <f t="shared" si="91"/>
        <v>409.64673913043481</v>
      </c>
      <c r="M118">
        <f t="shared" si="92"/>
        <v>21.264611444660513</v>
      </c>
      <c r="N118">
        <f t="shared" si="93"/>
        <v>4178.4961488757908</v>
      </c>
      <c r="O118">
        <f t="shared" si="109"/>
        <v>600</v>
      </c>
      <c r="P118">
        <f t="shared" si="94"/>
        <v>1.751516706792591</v>
      </c>
      <c r="Q118">
        <f t="shared" si="95"/>
        <v>17.280201642067592</v>
      </c>
      <c r="R118">
        <f t="shared" si="96"/>
        <v>8.7853528586726242</v>
      </c>
      <c r="T118">
        <f t="shared" si="110"/>
        <v>90</v>
      </c>
      <c r="U118">
        <f t="shared" si="97"/>
        <v>1.1145490539799978</v>
      </c>
      <c r="V118">
        <f t="shared" si="98"/>
        <v>7.6399849600807132E-2</v>
      </c>
      <c r="W118">
        <f t="shared" si="99"/>
        <v>274.19107065045608</v>
      </c>
      <c r="X118">
        <f t="shared" si="100"/>
        <v>418.75</v>
      </c>
      <c r="Y118">
        <f t="shared" si="101"/>
        <v>13.010303641458954</v>
      </c>
      <c r="Z118">
        <f t="shared" si="102"/>
        <v>2556.5246655466844</v>
      </c>
      <c r="AA118">
        <f t="shared" si="111"/>
        <v>400</v>
      </c>
      <c r="AB118">
        <f t="shared" si="103"/>
        <v>2.2936880707524203</v>
      </c>
      <c r="AC118">
        <f t="shared" si="104"/>
        <v>24.187710384973258</v>
      </c>
      <c r="AD118">
        <f t="shared" si="105"/>
        <v>12.891550390443523</v>
      </c>
      <c r="AH118">
        <f t="shared" si="106"/>
        <v>104</v>
      </c>
      <c r="AI118">
        <f t="shared" si="79"/>
        <v>1.0433440432273926</v>
      </c>
      <c r="AJ118">
        <f t="shared" si="80"/>
        <v>6.9052555026248158E-2</v>
      </c>
      <c r="AK118">
        <f t="shared" si="81"/>
        <v>330.91939075363291</v>
      </c>
      <c r="AL118">
        <f t="shared" si="82"/>
        <v>362.37980769230768</v>
      </c>
      <c r="AM118">
        <f t="shared" si="83"/>
        <v>3.2718833616221761</v>
      </c>
      <c r="AN118">
        <f t="shared" si="84"/>
        <v>642.9250805587576</v>
      </c>
      <c r="AO118">
        <f t="shared" si="107"/>
        <v>200</v>
      </c>
      <c r="AP118">
        <f t="shared" si="85"/>
        <v>5.6027069760954404</v>
      </c>
      <c r="AQ118">
        <f t="shared" si="86"/>
        <v>26.4767040695851</v>
      </c>
      <c r="AR118">
        <f t="shared" si="87"/>
        <v>29.793805346802809</v>
      </c>
    </row>
    <row r="119" spans="1:44" ht="15.75" thickBot="1">
      <c r="A119" s="31" t="s">
        <v>61</v>
      </c>
      <c r="B119" s="32"/>
      <c r="C119" s="32"/>
      <c r="D119" s="33"/>
      <c r="H119">
        <f t="shared" si="108"/>
        <v>94</v>
      </c>
      <c r="I119">
        <f t="shared" si="88"/>
        <v>0.76628400893260373</v>
      </c>
      <c r="J119">
        <f t="shared" si="89"/>
        <v>4.50780210635668E-2</v>
      </c>
      <c r="K119">
        <f t="shared" si="90"/>
        <v>176.48034098881283</v>
      </c>
      <c r="L119">
        <f t="shared" si="91"/>
        <v>400.93085106382978</v>
      </c>
      <c r="M119">
        <f t="shared" si="92"/>
        <v>21.098347947051593</v>
      </c>
      <c r="N119">
        <f t="shared" si="93"/>
        <v>4145.825371595638</v>
      </c>
      <c r="O119">
        <f t="shared" si="109"/>
        <v>600</v>
      </c>
      <c r="P119">
        <f t="shared" si="94"/>
        <v>1.8037652847078318</v>
      </c>
      <c r="Q119">
        <f t="shared" si="95"/>
        <v>16.912537777342749</v>
      </c>
      <c r="R119">
        <f t="shared" si="96"/>
        <v>8.9763387903828988</v>
      </c>
      <c r="T119">
        <f t="shared" si="110"/>
        <v>92</v>
      </c>
      <c r="U119">
        <f t="shared" si="97"/>
        <v>1.0666171239647899</v>
      </c>
      <c r="V119">
        <f t="shared" si="98"/>
        <v>7.1400648106717229E-2</v>
      </c>
      <c r="W119">
        <f t="shared" si="99"/>
        <v>267.76486708298614</v>
      </c>
      <c r="X119">
        <f t="shared" si="100"/>
        <v>409.64673913043481</v>
      </c>
      <c r="Y119">
        <f t="shared" si="101"/>
        <v>13.053132228365277</v>
      </c>
      <c r="Z119">
        <f t="shared" si="102"/>
        <v>2564.940482873777</v>
      </c>
      <c r="AA119">
        <f t="shared" si="111"/>
        <v>400</v>
      </c>
      <c r="AB119">
        <f t="shared" si="103"/>
        <v>2.3775142989876037</v>
      </c>
      <c r="AC119">
        <f t="shared" si="104"/>
        <v>23.661890593995579</v>
      </c>
      <c r="AD119">
        <f t="shared" si="105"/>
        <v>13.178029288008936</v>
      </c>
      <c r="AH119">
        <f t="shared" si="106"/>
        <v>106</v>
      </c>
      <c r="AI119">
        <f t="shared" si="79"/>
        <v>1.0043439988917298</v>
      </c>
      <c r="AJ119">
        <f t="shared" si="80"/>
        <v>6.5233852178440868E-2</v>
      </c>
      <c r="AK119">
        <f t="shared" si="81"/>
        <v>324.75851028345318</v>
      </c>
      <c r="AL119">
        <f t="shared" si="82"/>
        <v>355.54245283018867</v>
      </c>
      <c r="AM119">
        <f t="shared" si="83"/>
        <v>3.2630979099539617</v>
      </c>
      <c r="AN119">
        <f t="shared" si="84"/>
        <v>641.1987393059535</v>
      </c>
      <c r="AO119">
        <f t="shared" si="107"/>
        <v>200</v>
      </c>
      <c r="AP119">
        <f t="shared" si="85"/>
        <v>5.8134624497001504</v>
      </c>
      <c r="AQ119">
        <f t="shared" si="86"/>
        <v>25.977143615441985</v>
      </c>
      <c r="AR119">
        <f t="shared" si="87"/>
        <v>30.366763141933632</v>
      </c>
    </row>
    <row r="120" spans="1:44">
      <c r="A120" s="8" t="s">
        <v>19</v>
      </c>
      <c r="B120" t="s">
        <v>51</v>
      </c>
      <c r="D120" s="11"/>
      <c r="H120">
        <f t="shared" si="108"/>
        <v>96</v>
      </c>
      <c r="I120">
        <f t="shared" si="88"/>
        <v>0.73468809710595562</v>
      </c>
      <c r="J120">
        <f t="shared" si="89"/>
        <v>4.2810295557372813E-2</v>
      </c>
      <c r="K120">
        <f t="shared" si="90"/>
        <v>174.81008223493288</v>
      </c>
      <c r="L120">
        <f t="shared" si="91"/>
        <v>392.578125</v>
      </c>
      <c r="M120">
        <f t="shared" si="92"/>
        <v>20.905732105446443</v>
      </c>
      <c r="N120">
        <f t="shared" si="93"/>
        <v>4107.976358720226</v>
      </c>
      <c r="O120">
        <f t="shared" si="109"/>
        <v>600</v>
      </c>
      <c r="P120">
        <f t="shared" si="94"/>
        <v>1.8578403237058438</v>
      </c>
      <c r="Q120">
        <f t="shared" si="95"/>
        <v>16.560193240314774</v>
      </c>
      <c r="R120">
        <f t="shared" si="96"/>
        <v>9.1673247220931735</v>
      </c>
      <c r="T120">
        <f t="shared" si="110"/>
        <v>94</v>
      </c>
      <c r="U120">
        <f t="shared" si="97"/>
        <v>1.0217120119101384</v>
      </c>
      <c r="V120">
        <f t="shared" si="98"/>
        <v>6.6916481890785431E-2</v>
      </c>
      <c r="W120">
        <f t="shared" si="99"/>
        <v>261.9778611222626</v>
      </c>
      <c r="X120">
        <f t="shared" si="100"/>
        <v>400.93085106382978</v>
      </c>
      <c r="Y120">
        <f t="shared" si="101"/>
        <v>13.061581054507315</v>
      </c>
      <c r="Z120">
        <f t="shared" si="102"/>
        <v>2566.6006772106875</v>
      </c>
      <c r="AA120">
        <f t="shared" si="111"/>
        <v>400</v>
      </c>
      <c r="AB120">
        <f t="shared" si="103"/>
        <v>2.4638446998976073</v>
      </c>
      <c r="AC120">
        <f t="shared" si="104"/>
        <v>23.158446113272266</v>
      </c>
      <c r="AD120">
        <f t="shared" si="105"/>
        <v>13.464508185574346</v>
      </c>
      <c r="AH120">
        <f t="shared" si="106"/>
        <v>108</v>
      </c>
      <c r="AI120">
        <f t="shared" si="79"/>
        <v>0.96749049824652589</v>
      </c>
      <c r="AJ120">
        <f t="shared" si="80"/>
        <v>6.175900125446622E-2</v>
      </c>
      <c r="AK120">
        <f t="shared" si="81"/>
        <v>319.17109969760878</v>
      </c>
      <c r="AL120">
        <f t="shared" si="82"/>
        <v>348.95833333333331</v>
      </c>
      <c r="AM120">
        <f t="shared" si="83"/>
        <v>3.2170212326582495</v>
      </c>
      <c r="AN120">
        <f t="shared" si="84"/>
        <v>632.14467221734606</v>
      </c>
      <c r="AO120">
        <f t="shared" si="107"/>
        <v>200</v>
      </c>
      <c r="AP120">
        <f t="shared" si="85"/>
        <v>6.0284724092642383</v>
      </c>
      <c r="AQ120">
        <f t="shared" si="86"/>
        <v>25.496085400341208</v>
      </c>
      <c r="AR120">
        <f t="shared" si="87"/>
        <v>30.939720937064461</v>
      </c>
    </row>
    <row r="121" spans="1:44">
      <c r="A121" s="8">
        <v>75</v>
      </c>
      <c r="B121">
        <f t="shared" ref="B121:B129" si="114">B96 + 2</f>
        <v>15</v>
      </c>
      <c r="D121" s="11"/>
      <c r="H121">
        <f t="shared" si="108"/>
        <v>98</v>
      </c>
      <c r="I121">
        <f t="shared" si="88"/>
        <v>0.70500682037989237</v>
      </c>
      <c r="J121">
        <f t="shared" si="89"/>
        <v>4.0766958460749417E-2</v>
      </c>
      <c r="K121">
        <f t="shared" si="90"/>
        <v>173.4747407356237</v>
      </c>
      <c r="L121">
        <f t="shared" si="91"/>
        <v>384.56632653061223</v>
      </c>
      <c r="M121">
        <f t="shared" si="92"/>
        <v>20.686975407908875</v>
      </c>
      <c r="N121">
        <f t="shared" si="93"/>
        <v>4064.9906676540941</v>
      </c>
      <c r="O121">
        <f t="shared" si="109"/>
        <v>600</v>
      </c>
      <c r="P121">
        <f t="shared" si="94"/>
        <v>1.9137245505409712</v>
      </c>
      <c r="Q121">
        <f t="shared" si="95"/>
        <v>16.222230112961412</v>
      </c>
      <c r="R121">
        <f t="shared" si="96"/>
        <v>9.3583106538034482</v>
      </c>
      <c r="T121">
        <f t="shared" si="110"/>
        <v>96</v>
      </c>
      <c r="U121">
        <f t="shared" si="97"/>
        <v>0.97958412947460749</v>
      </c>
      <c r="V121">
        <f t="shared" si="98"/>
        <v>6.2884969879773878E-2</v>
      </c>
      <c r="W121">
        <f t="shared" si="99"/>
        <v>256.78231399482456</v>
      </c>
      <c r="X121">
        <f t="shared" si="100"/>
        <v>392.578125</v>
      </c>
      <c r="Y121">
        <f t="shared" si="101"/>
        <v>13.036397856496842</v>
      </c>
      <c r="Z121">
        <f t="shared" si="102"/>
        <v>2561.6521788016294</v>
      </c>
      <c r="AA121">
        <f t="shared" si="111"/>
        <v>400</v>
      </c>
      <c r="AB121">
        <f t="shared" si="103"/>
        <v>2.5526523468486122</v>
      </c>
      <c r="AC121">
        <f t="shared" si="104"/>
        <v>22.675978485912431</v>
      </c>
      <c r="AD121">
        <f t="shared" si="105"/>
        <v>13.750987083139758</v>
      </c>
      <c r="AH121">
        <f t="shared" si="106"/>
        <v>110</v>
      </c>
      <c r="AI121">
        <f t="shared" si="79"/>
        <v>0.93262885715268407</v>
      </c>
      <c r="AJ121">
        <f t="shared" si="80"/>
        <v>5.8591508139694985E-2</v>
      </c>
      <c r="AK121">
        <f t="shared" si="81"/>
        <v>314.12017594316598</v>
      </c>
      <c r="AL121">
        <f t="shared" si="82"/>
        <v>342.61363636363637</v>
      </c>
      <c r="AM121">
        <f t="shared" si="83"/>
        <v>3.1342806462517436</v>
      </c>
      <c r="AN121">
        <f t="shared" si="84"/>
        <v>615.88614698846766</v>
      </c>
      <c r="AO121">
        <f t="shared" si="107"/>
        <v>200</v>
      </c>
      <c r="AP121">
        <f t="shared" si="85"/>
        <v>6.2477247170607582</v>
      </c>
      <c r="AQ121">
        <f t="shared" si="86"/>
        <v>25.032520211244094</v>
      </c>
      <c r="AR121">
        <f t="shared" si="87"/>
        <v>31.512678732195276</v>
      </c>
    </row>
    <row r="122" spans="1:44">
      <c r="A122" s="8">
        <v>94</v>
      </c>
      <c r="B122">
        <f t="shared" si="114"/>
        <v>14.57</v>
      </c>
      <c r="D122" s="11"/>
      <c r="H122">
        <f t="shared" si="108"/>
        <v>100</v>
      </c>
      <c r="I122">
        <f t="shared" si="88"/>
        <v>0.67708855029284865</v>
      </c>
      <c r="J122">
        <f t="shared" si="89"/>
        <v>3.8921885744237876E-2</v>
      </c>
      <c r="K122">
        <f t="shared" si="90"/>
        <v>172.45256500381097</v>
      </c>
      <c r="L122">
        <f t="shared" si="91"/>
        <v>376.875</v>
      </c>
      <c r="M122">
        <f t="shared" si="92"/>
        <v>20.442243499618904</v>
      </c>
      <c r="N122">
        <f t="shared" si="93"/>
        <v>4016.9008476751146</v>
      </c>
      <c r="O122">
        <f t="shared" si="109"/>
        <v>600</v>
      </c>
      <c r="P122">
        <f t="shared" si="94"/>
        <v>1.971400448918246</v>
      </c>
      <c r="Q122">
        <f t="shared" si="95"/>
        <v>15.897785510702182</v>
      </c>
      <c r="R122">
        <f t="shared" si="96"/>
        <v>9.5492965855137211</v>
      </c>
      <c r="T122">
        <f t="shared" si="110"/>
        <v>98</v>
      </c>
      <c r="U122">
        <f t="shared" si="97"/>
        <v>0.94000909383985654</v>
      </c>
      <c r="V122">
        <f t="shared" si="98"/>
        <v>5.9252370596887864E-2</v>
      </c>
      <c r="W122">
        <f t="shared" si="99"/>
        <v>252.13530798876428</v>
      </c>
      <c r="X122">
        <f t="shared" si="100"/>
        <v>384.56632653061223</v>
      </c>
      <c r="Y122">
        <f t="shared" si="101"/>
        <v>12.9782398171011</v>
      </c>
      <c r="Z122">
        <f t="shared" si="102"/>
        <v>2550.2241240603662</v>
      </c>
      <c r="AA122">
        <f t="shared" si="111"/>
        <v>400</v>
      </c>
      <c r="AB122">
        <f t="shared" si="103"/>
        <v>2.6439116332665686</v>
      </c>
      <c r="AC122">
        <f t="shared" si="104"/>
        <v>22.21320341477136</v>
      </c>
      <c r="AD122">
        <f t="shared" si="105"/>
        <v>14.037465980705173</v>
      </c>
      <c r="AH122">
        <f t="shared" si="106"/>
        <v>112</v>
      </c>
      <c r="AI122">
        <f t="shared" si="79"/>
        <v>0.89961807808892524</v>
      </c>
      <c r="AJ122">
        <f t="shared" si="80"/>
        <v>5.5699318619967561E-2</v>
      </c>
      <c r="AK122">
        <f t="shared" si="81"/>
        <v>309.57202826720987</v>
      </c>
      <c r="AL122">
        <f t="shared" si="82"/>
        <v>336.49553571428572</v>
      </c>
      <c r="AM122">
        <f t="shared" si="83"/>
        <v>3.0154328340724952</v>
      </c>
      <c r="AN122">
        <f t="shared" si="84"/>
        <v>592.53255189524532</v>
      </c>
      <c r="AO122">
        <f t="shared" si="107"/>
        <v>200</v>
      </c>
      <c r="AP122">
        <f t="shared" si="85"/>
        <v>6.4712082284608048</v>
      </c>
      <c r="AQ122">
        <f t="shared" si="86"/>
        <v>24.585510921757596</v>
      </c>
      <c r="AR122">
        <f t="shared" si="87"/>
        <v>32.085636527326102</v>
      </c>
    </row>
    <row r="123" spans="1:44">
      <c r="A123" s="8">
        <v>110</v>
      </c>
      <c r="B123">
        <f t="shared" si="114"/>
        <v>13.15</v>
      </c>
      <c r="D123" s="11"/>
      <c r="H123">
        <f t="shared" si="108"/>
        <v>102</v>
      </c>
      <c r="I123">
        <f t="shared" si="88"/>
        <v>0.65079637667517165</v>
      </c>
      <c r="J123">
        <f t="shared" si="89"/>
        <v>3.7252433874690002E-2</v>
      </c>
      <c r="K123">
        <f t="shared" si="90"/>
        <v>171.72391492869482</v>
      </c>
      <c r="L123">
        <f t="shared" si="91"/>
        <v>369.48529411764707</v>
      </c>
      <c r="M123">
        <f t="shared" si="92"/>
        <v>20.171660677273128</v>
      </c>
      <c r="N123">
        <f t="shared" si="93"/>
        <v>3963.7313230841696</v>
      </c>
      <c r="O123">
        <f t="shared" si="109"/>
        <v>600</v>
      </c>
      <c r="P123">
        <f t="shared" si="94"/>
        <v>2.0308504482125636</v>
      </c>
      <c r="Q123">
        <f t="shared" si="95"/>
        <v>15.586064226178609</v>
      </c>
      <c r="R123">
        <f t="shared" si="96"/>
        <v>9.7402825172239922</v>
      </c>
      <c r="T123">
        <f t="shared" si="110"/>
        <v>100</v>
      </c>
      <c r="U123">
        <f t="shared" si="97"/>
        <v>0.90278473372379819</v>
      </c>
      <c r="V123">
        <f t="shared" si="98"/>
        <v>5.5972241323089554E-2</v>
      </c>
      <c r="W123">
        <f t="shared" si="99"/>
        <v>247.9981737937272</v>
      </c>
      <c r="X123">
        <f t="shared" si="100"/>
        <v>376.875</v>
      </c>
      <c r="Y123">
        <f t="shared" si="101"/>
        <v>12.887682620627279</v>
      </c>
      <c r="Z123">
        <f t="shared" si="102"/>
        <v>2532.4296349532606</v>
      </c>
      <c r="AA123">
        <f t="shared" si="111"/>
        <v>400</v>
      </c>
      <c r="AB123">
        <f t="shared" si="103"/>
        <v>2.7375982891010304</v>
      </c>
      <c r="AC123">
        <f t="shared" si="104"/>
        <v>21.768939346475928</v>
      </c>
      <c r="AD123">
        <f t="shared" si="105"/>
        <v>14.323944878270582</v>
      </c>
      <c r="AH123">
        <f t="shared" si="106"/>
        <v>114</v>
      </c>
      <c r="AI123">
        <f t="shared" si="79"/>
        <v>0.86832942224895948</v>
      </c>
      <c r="AJ123">
        <f t="shared" si="80"/>
        <v>5.3054211644238805E-2</v>
      </c>
      <c r="AK123">
        <f t="shared" si="81"/>
        <v>305.49587682304508</v>
      </c>
      <c r="AL123">
        <f t="shared" si="82"/>
        <v>330.59210526315792</v>
      </c>
      <c r="AM123">
        <f t="shared" si="83"/>
        <v>2.8609700421728634</v>
      </c>
      <c r="AN123">
        <f t="shared" si="84"/>
        <v>562.18061328696763</v>
      </c>
      <c r="AO123">
        <f t="shared" si="107"/>
        <v>200</v>
      </c>
      <c r="AP123">
        <f t="shared" si="85"/>
        <v>6.6989126999085862</v>
      </c>
      <c r="AQ123">
        <f t="shared" si="86"/>
        <v>24.154186168744307</v>
      </c>
      <c r="AR123">
        <f t="shared" si="87"/>
        <v>32.658594322456928</v>
      </c>
    </row>
    <row r="124" spans="1:44">
      <c r="A124" s="8">
        <v>120</v>
      </c>
      <c r="B124">
        <f t="shared" si="114"/>
        <v>12</v>
      </c>
      <c r="D124" s="11"/>
      <c r="H124">
        <f t="shared" si="108"/>
        <v>104</v>
      </c>
      <c r="I124">
        <f t="shared" si="88"/>
        <v>0.62600642593643552</v>
      </c>
      <c r="J124">
        <f t="shared" si="89"/>
        <v>3.5738919809449335E-2</v>
      </c>
      <c r="K124">
        <f t="shared" si="90"/>
        <v>171.27102052980322</v>
      </c>
      <c r="L124">
        <f t="shared" si="91"/>
        <v>362.37980769230768</v>
      </c>
      <c r="M124">
        <f t="shared" si="92"/>
        <v>19.875313864900466</v>
      </c>
      <c r="N124">
        <f t="shared" si="93"/>
        <v>3905.4991744529416</v>
      </c>
      <c r="O124">
        <f t="shared" si="109"/>
        <v>600</v>
      </c>
      <c r="P124">
        <f t="shared" si="94"/>
        <v>2.0920570806953651</v>
      </c>
      <c r="Q124">
        <f t="shared" si="95"/>
        <v>15.286332221829019</v>
      </c>
      <c r="R124">
        <f t="shared" si="96"/>
        <v>9.9312684489342722</v>
      </c>
      <c r="T124">
        <f t="shared" si="110"/>
        <v>102</v>
      </c>
      <c r="U124">
        <f t="shared" si="97"/>
        <v>0.86772850223356224</v>
      </c>
      <c r="V124">
        <f t="shared" si="98"/>
        <v>5.300432688833779E-2</v>
      </c>
      <c r="W124">
        <f t="shared" si="99"/>
        <v>244.33599565718021</v>
      </c>
      <c r="X124">
        <f t="shared" si="100"/>
        <v>369.48529411764707</v>
      </c>
      <c r="Y124">
        <f t="shared" si="101"/>
        <v>12.76522844296762</v>
      </c>
      <c r="Z124">
        <f t="shared" si="102"/>
        <v>2508.3673890431373</v>
      </c>
      <c r="AA124">
        <f t="shared" si="111"/>
        <v>400</v>
      </c>
      <c r="AB124">
        <f t="shared" si="103"/>
        <v>2.8336893746071805</v>
      </c>
      <c r="AC124">
        <f t="shared" si="104"/>
        <v>21.342097398505814</v>
      </c>
      <c r="AD124">
        <f t="shared" si="105"/>
        <v>14.61042377583599</v>
      </c>
      <c r="AH124">
        <f t="shared" si="106"/>
        <v>116</v>
      </c>
      <c r="AI124">
        <f t="shared" si="79"/>
        <v>0.83864515246339755</v>
      </c>
      <c r="AJ124">
        <f t="shared" si="80"/>
        <v>5.0631284292487394E-2</v>
      </c>
      <c r="AK124">
        <f t="shared" si="81"/>
        <v>301.86357211846632</v>
      </c>
      <c r="AL124">
        <f t="shared" si="82"/>
        <v>324.89224137931035</v>
      </c>
      <c r="AM124">
        <f t="shared" si="83"/>
        <v>2.671325634257907</v>
      </c>
      <c r="AN124">
        <f t="shared" si="84"/>
        <v>524.91548713167879</v>
      </c>
      <c r="AO124">
        <f t="shared" si="107"/>
        <v>200</v>
      </c>
      <c r="AP124">
        <f t="shared" si="85"/>
        <v>6.9308287061134823</v>
      </c>
      <c r="AQ124">
        <f t="shared" si="86"/>
        <v>23.737734683076297</v>
      </c>
      <c r="AR124">
        <f t="shared" si="87"/>
        <v>33.231552117587746</v>
      </c>
    </row>
    <row r="125" spans="1:44">
      <c r="A125" s="8">
        <v>125</v>
      </c>
      <c r="B125">
        <f t="shared" si="114"/>
        <v>11.4</v>
      </c>
      <c r="D125" s="11"/>
      <c r="H125">
        <f t="shared" si="108"/>
        <v>106</v>
      </c>
      <c r="I125">
        <f t="shared" si="88"/>
        <v>0.6026063993350379</v>
      </c>
      <c r="J125">
        <f t="shared" si="89"/>
        <v>3.4364186784238721E-2</v>
      </c>
      <c r="K125">
        <f t="shared" si="90"/>
        <v>171.07777226806152</v>
      </c>
      <c r="L125">
        <f t="shared" si="91"/>
        <v>355.54245283018867</v>
      </c>
      <c r="M125">
        <f t="shared" si="92"/>
        <v>19.553256139585475</v>
      </c>
      <c r="N125">
        <f t="shared" si="93"/>
        <v>3842.2148314285459</v>
      </c>
      <c r="O125">
        <f t="shared" si="109"/>
        <v>600</v>
      </c>
      <c r="P125">
        <f t="shared" si="94"/>
        <v>2.1550031104404903</v>
      </c>
      <c r="Q125">
        <f t="shared" si="95"/>
        <v>14.997910859153002</v>
      </c>
      <c r="R125">
        <f t="shared" si="96"/>
        <v>10.122254380644547</v>
      </c>
      <c r="T125">
        <f t="shared" si="110"/>
        <v>104</v>
      </c>
      <c r="U125">
        <f t="shared" si="97"/>
        <v>0.83467523458191395</v>
      </c>
      <c r="V125">
        <f t="shared" si="98"/>
        <v>5.0313635216798817E-2</v>
      </c>
      <c r="W125">
        <f t="shared" si="99"/>
        <v>241.11718250272875</v>
      </c>
      <c r="X125">
        <f t="shared" si="100"/>
        <v>362.37980769230768</v>
      </c>
      <c r="Y125">
        <f t="shared" si="101"/>
        <v>12.611313019716208</v>
      </c>
      <c r="Z125">
        <f t="shared" si="102"/>
        <v>2478.1230083742348</v>
      </c>
      <c r="AA125">
        <f t="shared" si="111"/>
        <v>400</v>
      </c>
      <c r="AB125">
        <f t="shared" si="103"/>
        <v>2.9321632568799996</v>
      </c>
      <c r="AC125">
        <f t="shared" si="104"/>
        <v>20.931672448534545</v>
      </c>
      <c r="AD125">
        <f t="shared" si="105"/>
        <v>14.896902673401401</v>
      </c>
      <c r="AH125">
        <f t="shared" si="106"/>
        <v>118</v>
      </c>
      <c r="AI125">
        <f t="shared" si="79"/>
        <v>0.81045742398358789</v>
      </c>
      <c r="AJ125">
        <f t="shared" si="80"/>
        <v>4.8408513303416188E-2</v>
      </c>
      <c r="AK125">
        <f t="shared" si="81"/>
        <v>298.64932981597616</v>
      </c>
      <c r="AL125">
        <f t="shared" si="82"/>
        <v>319.38559322033899</v>
      </c>
      <c r="AM125">
        <f t="shared" si="83"/>
        <v>2.4468790817148136</v>
      </c>
      <c r="AN125">
        <f t="shared" si="84"/>
        <v>480.8117395569609</v>
      </c>
      <c r="AO125">
        <f t="shared" si="107"/>
        <v>200</v>
      </c>
      <c r="AP125">
        <f t="shared" si="85"/>
        <v>7.1669475655160673</v>
      </c>
      <c r="AQ125">
        <f t="shared" si="86"/>
        <v>23.335400196922464</v>
      </c>
      <c r="AR125">
        <f t="shared" si="87"/>
        <v>33.804509912718572</v>
      </c>
    </row>
    <row r="126" spans="1:44">
      <c r="A126" s="8">
        <v>138</v>
      </c>
      <c r="B126">
        <f t="shared" si="114"/>
        <v>9</v>
      </c>
      <c r="D126" s="11"/>
      <c r="H126">
        <f t="shared" si="108"/>
        <v>108</v>
      </c>
      <c r="I126">
        <f t="shared" si="88"/>
        <v>0.58049429894791549</v>
      </c>
      <c r="J126">
        <f t="shared" si="89"/>
        <v>3.3113240451607837E-2</v>
      </c>
      <c r="K126">
        <f t="shared" si="90"/>
        <v>171.12953828291896</v>
      </c>
      <c r="L126">
        <f t="shared" si="91"/>
        <v>348.95833333333331</v>
      </c>
      <c r="M126">
        <f t="shared" si="92"/>
        <v>19.20550986544475</v>
      </c>
      <c r="N126">
        <f t="shared" si="93"/>
        <v>3773.8826885598933</v>
      </c>
      <c r="O126">
        <f t="shared" si="109"/>
        <v>600</v>
      </c>
      <c r="P126">
        <f t="shared" si="94"/>
        <v>2.2196716371086205</v>
      </c>
      <c r="Q126">
        <f t="shared" si="95"/>
        <v>14.720171769168687</v>
      </c>
      <c r="R126">
        <f t="shared" si="96"/>
        <v>10.31324031235482</v>
      </c>
      <c r="T126">
        <f t="shared" si="110"/>
        <v>106</v>
      </c>
      <c r="U126">
        <f t="shared" si="97"/>
        <v>0.80347519911338383</v>
      </c>
      <c r="V126">
        <f t="shared" si="98"/>
        <v>4.7869665394202163E-2</v>
      </c>
      <c r="W126">
        <f t="shared" si="99"/>
        <v>238.31309514979537</v>
      </c>
      <c r="X126">
        <f t="shared" si="100"/>
        <v>355.54245283018867</v>
      </c>
      <c r="Y126">
        <f t="shared" si="101"/>
        <v>12.426311914121689</v>
      </c>
      <c r="Z126">
        <f t="shared" si="102"/>
        <v>2441.7702911249116</v>
      </c>
      <c r="AA126">
        <f t="shared" si="111"/>
        <v>400</v>
      </c>
      <c r="AB126">
        <f t="shared" si="103"/>
        <v>3.0329995736099962</v>
      </c>
      <c r="AC126">
        <f t="shared" si="104"/>
        <v>20.536735232524464</v>
      </c>
      <c r="AD126">
        <f t="shared" si="105"/>
        <v>15.183381570966816</v>
      </c>
      <c r="AH126">
        <f t="shared" si="106"/>
        <v>120</v>
      </c>
      <c r="AI126">
        <f t="shared" si="79"/>
        <v>0.78366730357968595</v>
      </c>
      <c r="AJ126">
        <f t="shared" si="80"/>
        <v>4.6366380723055281E-2</v>
      </c>
      <c r="AK126">
        <f t="shared" si="81"/>
        <v>295.82949621133832</v>
      </c>
      <c r="AL126">
        <f t="shared" si="82"/>
        <v>314.0625</v>
      </c>
      <c r="AM126">
        <f t="shared" si="83"/>
        <v>2.1879604546394011</v>
      </c>
      <c r="AN126">
        <f t="shared" si="84"/>
        <v>429.93422933664232</v>
      </c>
      <c r="AO126">
        <f t="shared" si="107"/>
        <v>200</v>
      </c>
      <c r="AP126">
        <f t="shared" si="85"/>
        <v>7.4072612731737664</v>
      </c>
      <c r="AQ126">
        <f t="shared" si="86"/>
        <v>22.94647686030709</v>
      </c>
      <c r="AR126">
        <f t="shared" si="87"/>
        <v>34.377467707849405</v>
      </c>
    </row>
    <row r="127" spans="1:44">
      <c r="A127" s="8">
        <v>148</v>
      </c>
      <c r="B127">
        <f t="shared" si="114"/>
        <v>7</v>
      </c>
      <c r="D127" s="11"/>
      <c r="H127">
        <f t="shared" si="108"/>
        <v>110</v>
      </c>
      <c r="I127">
        <f t="shared" si="88"/>
        <v>0.55957731429161039</v>
      </c>
      <c r="J127">
        <f t="shared" si="89"/>
        <v>3.1972942930290196E-2</v>
      </c>
      <c r="K127">
        <f t="shared" si="90"/>
        <v>171.41300467531957</v>
      </c>
      <c r="L127">
        <f t="shared" si="91"/>
        <v>342.61363636363637</v>
      </c>
      <c r="M127">
        <f t="shared" si="92"/>
        <v>18.832069485714847</v>
      </c>
      <c r="N127">
        <f t="shared" si="93"/>
        <v>3700.5016539429676</v>
      </c>
      <c r="O127">
        <f t="shared" si="109"/>
        <v>600</v>
      </c>
      <c r="P127">
        <f t="shared" si="94"/>
        <v>2.2860461777238381</v>
      </c>
      <c r="Q127">
        <f t="shared" si="95"/>
        <v>14.452532282456527</v>
      </c>
      <c r="R127">
        <f t="shared" si="96"/>
        <v>10.504226244065093</v>
      </c>
      <c r="T127">
        <f t="shared" si="110"/>
        <v>108</v>
      </c>
      <c r="U127">
        <f t="shared" si="97"/>
        <v>0.77399239859722069</v>
      </c>
      <c r="V127">
        <f t="shared" si="98"/>
        <v>4.5645760802858378E-2</v>
      </c>
      <c r="W127">
        <f t="shared" si="99"/>
        <v>235.89772140184576</v>
      </c>
      <c r="X127">
        <f t="shared" si="100"/>
        <v>348.95833333333331</v>
      </c>
      <c r="Y127">
        <f t="shared" si="101"/>
        <v>12.210546088600656</v>
      </c>
      <c r="Z127">
        <f t="shared" si="102"/>
        <v>2399.3723064100291</v>
      </c>
      <c r="AA127">
        <f t="shared" si="111"/>
        <v>400</v>
      </c>
      <c r="AB127">
        <f t="shared" si="103"/>
        <v>3.1361791876924126</v>
      </c>
      <c r="AC127">
        <f t="shared" si="104"/>
        <v>20.156425320811046</v>
      </c>
      <c r="AD127">
        <f t="shared" si="105"/>
        <v>15.469860468532229</v>
      </c>
      <c r="AH127">
        <f t="shared" si="106"/>
        <v>122</v>
      </c>
      <c r="AI127">
        <f t="shared" si="79"/>
        <v>0.75818390026521609</v>
      </c>
      <c r="AJ127">
        <f t="shared" si="80"/>
        <v>4.4487553422778464E-2</v>
      </c>
      <c r="AK127">
        <f t="shared" si="81"/>
        <v>293.38234040063708</v>
      </c>
      <c r="AL127">
        <f t="shared" si="82"/>
        <v>308.9139344262295</v>
      </c>
      <c r="AM127">
        <f t="shared" si="83"/>
        <v>1.8948544711222759</v>
      </c>
      <c r="AN127">
        <f t="shared" si="84"/>
        <v>372.33890357552724</v>
      </c>
      <c r="AO127">
        <f t="shared" si="107"/>
        <v>200</v>
      </c>
      <c r="AP127">
        <f t="shared" si="85"/>
        <v>7.6517624402953963</v>
      </c>
      <c r="AQ127">
        <f t="shared" si="86"/>
        <v>22.570305108498776</v>
      </c>
      <c r="AR127">
        <f t="shared" si="87"/>
        <v>34.950425502980217</v>
      </c>
    </row>
    <row r="128" spans="1:44">
      <c r="A128" s="8">
        <v>154</v>
      </c>
      <c r="B128">
        <f t="shared" si="114"/>
        <v>5.5</v>
      </c>
      <c r="D128" s="11"/>
      <c r="H128">
        <f t="shared" si="108"/>
        <v>112</v>
      </c>
      <c r="I128">
        <f t="shared" si="88"/>
        <v>0.53977084685335508</v>
      </c>
      <c r="J128">
        <f t="shared" si="89"/>
        <v>3.0931754703188319E-2</v>
      </c>
      <c r="K128">
        <f t="shared" si="90"/>
        <v>171.91603557421391</v>
      </c>
      <c r="L128">
        <f t="shared" si="91"/>
        <v>336.49553571428572</v>
      </c>
      <c r="M128">
        <f t="shared" si="92"/>
        <v>18.432904015688045</v>
      </c>
      <c r="N128">
        <f t="shared" si="93"/>
        <v>3622.0656390827007</v>
      </c>
      <c r="O128">
        <f t="shared" si="109"/>
        <v>600</v>
      </c>
      <c r="P128">
        <f t="shared" si="94"/>
        <v>2.3541107293908676</v>
      </c>
      <c r="Q128">
        <f t="shared" si="95"/>
        <v>14.194451348841234</v>
      </c>
      <c r="R128">
        <f t="shared" si="96"/>
        <v>10.695212175775367</v>
      </c>
      <c r="T128">
        <f t="shared" si="110"/>
        <v>110</v>
      </c>
      <c r="U128">
        <f t="shared" si="97"/>
        <v>0.74610308572214723</v>
      </c>
      <c r="V128">
        <f t="shared" si="98"/>
        <v>4.361856520940479E-2</v>
      </c>
      <c r="W128">
        <f t="shared" si="99"/>
        <v>233.84739210500234</v>
      </c>
      <c r="X128">
        <f t="shared" si="100"/>
        <v>342.61363636363637</v>
      </c>
      <c r="Y128">
        <f t="shared" si="101"/>
        <v>11.964286868449744</v>
      </c>
      <c r="Z128">
        <f t="shared" si="102"/>
        <v>2350.9823696503745</v>
      </c>
      <c r="AA128">
        <f t="shared" si="111"/>
        <v>400</v>
      </c>
      <c r="AB128">
        <f t="shared" si="103"/>
        <v>3.2416841356065187</v>
      </c>
      <c r="AC128">
        <f t="shared" si="104"/>
        <v>19.789944860432662</v>
      </c>
      <c r="AD128">
        <f t="shared" si="105"/>
        <v>15.756339366097638</v>
      </c>
      <c r="AH128">
        <f t="shared" si="106"/>
        <v>124</v>
      </c>
      <c r="AI128">
        <f t="shared" si="79"/>
        <v>0.73392359336286916</v>
      </c>
      <c r="AJ128">
        <f t="shared" si="80"/>
        <v>4.2756608009644363E-2</v>
      </c>
      <c r="AK128">
        <f t="shared" si="81"/>
        <v>291.28786972041434</v>
      </c>
      <c r="AL128">
        <f t="shared" si="82"/>
        <v>303.93145161290323</v>
      </c>
      <c r="AM128">
        <f t="shared" si="83"/>
        <v>1.5678041546686232</v>
      </c>
      <c r="AN128">
        <f t="shared" si="84"/>
        <v>308.07351639238448</v>
      </c>
      <c r="AO128">
        <f t="shared" si="107"/>
        <v>200</v>
      </c>
      <c r="AP128">
        <f t="shared" si="85"/>
        <v>7.9004442397316046</v>
      </c>
      <c r="AQ128">
        <f t="shared" si="86"/>
        <v>22.206267929329439</v>
      </c>
      <c r="AR128">
        <f t="shared" si="87"/>
        <v>35.523383298111042</v>
      </c>
    </row>
    <row r="129" spans="1:44">
      <c r="A129" s="8">
        <v>165</v>
      </c>
      <c r="B129">
        <f t="shared" si="114"/>
        <v>3</v>
      </c>
      <c r="D129" s="11"/>
      <c r="H129">
        <f t="shared" si="108"/>
        <v>114</v>
      </c>
      <c r="I129">
        <f t="shared" si="88"/>
        <v>0.52099765334937576</v>
      </c>
      <c r="J129">
        <f t="shared" si="89"/>
        <v>2.9979516191925973E-2</v>
      </c>
      <c r="K129">
        <f t="shared" si="90"/>
        <v>172.62755023479164</v>
      </c>
      <c r="L129">
        <f t="shared" si="91"/>
        <v>330.59210526315792</v>
      </c>
      <c r="M129">
        <f t="shared" si="92"/>
        <v>18.007959273233755</v>
      </c>
      <c r="N129">
        <f t="shared" si="93"/>
        <v>3538.5639971904329</v>
      </c>
      <c r="O129">
        <f t="shared" si="109"/>
        <v>600</v>
      </c>
      <c r="P129">
        <f t="shared" si="94"/>
        <v>2.4238498156857031</v>
      </c>
      <c r="Q129">
        <f t="shared" si="95"/>
        <v>13.945425886580864</v>
      </c>
      <c r="R129">
        <f t="shared" si="96"/>
        <v>10.886198107485644</v>
      </c>
      <c r="T129">
        <f t="shared" si="110"/>
        <v>112</v>
      </c>
      <c r="U129">
        <f t="shared" si="97"/>
        <v>0.71969446247114022</v>
      </c>
      <c r="V129">
        <f t="shared" si="98"/>
        <v>4.1767563916779243E-2</v>
      </c>
      <c r="W129">
        <f t="shared" si="99"/>
        <v>232.14053237739969</v>
      </c>
      <c r="X129">
        <f t="shared" si="100"/>
        <v>336.49553571428572</v>
      </c>
      <c r="Y129">
        <f t="shared" si="101"/>
        <v>11.687760373731235</v>
      </c>
      <c r="Z129">
        <f t="shared" si="102"/>
        <v>2296.6449134381878</v>
      </c>
      <c r="AA129">
        <f t="shared" si="111"/>
        <v>400</v>
      </c>
      <c r="AB129">
        <f t="shared" si="103"/>
        <v>3.3494975718792075</v>
      </c>
      <c r="AC129">
        <f t="shared" si="104"/>
        <v>19.436552987924937</v>
      </c>
      <c r="AD129">
        <f t="shared" si="105"/>
        <v>16.042818263663051</v>
      </c>
      <c r="AH129">
        <f t="shared" si="106"/>
        <v>126</v>
      </c>
      <c r="AI129">
        <f t="shared" si="79"/>
        <v>0.71080934565050879</v>
      </c>
      <c r="AJ129">
        <f t="shared" si="80"/>
        <v>4.1159794096538194E-2</v>
      </c>
      <c r="AK129">
        <f t="shared" si="81"/>
        <v>289.52766552942643</v>
      </c>
      <c r="AL129">
        <f t="shared" si="82"/>
        <v>299.10714285714283</v>
      </c>
      <c r="AM129">
        <f t="shared" si="83"/>
        <v>1.207014143292267</v>
      </c>
      <c r="AN129">
        <f t="shared" si="84"/>
        <v>237.17827915693047</v>
      </c>
      <c r="AO129">
        <f t="shared" si="107"/>
        <v>200</v>
      </c>
      <c r="AP129">
        <f t="shared" si="85"/>
        <v>8.1533003567996651</v>
      </c>
      <c r="AQ129">
        <f t="shared" si="86"/>
        <v>21.853787486006752</v>
      </c>
      <c r="AR129">
        <f t="shared" si="87"/>
        <v>36.096341093241861</v>
      </c>
    </row>
    <row r="130" spans="1:44" ht="15.75" thickBot="1">
      <c r="A130" s="19">
        <v>180</v>
      </c>
      <c r="B130" s="25">
        <v>0</v>
      </c>
      <c r="C130" s="25"/>
      <c r="D130" s="20"/>
      <c r="H130">
        <f t="shared" si="108"/>
        <v>116</v>
      </c>
      <c r="I130">
        <f t="shared" si="88"/>
        <v>0.50318709147803853</v>
      </c>
      <c r="J130">
        <f t="shared" si="89"/>
        <v>2.9107262345295461E-2</v>
      </c>
      <c r="K130">
        <f t="shared" si="90"/>
        <v>173.53741483985888</v>
      </c>
      <c r="L130">
        <f t="shared" si="91"/>
        <v>324.89224137931035</v>
      </c>
      <c r="M130">
        <f t="shared" si="92"/>
        <v>17.557159878576371</v>
      </c>
      <c r="N130">
        <f t="shared" si="93"/>
        <v>3449.981916140257</v>
      </c>
      <c r="O130">
        <f t="shared" si="109"/>
        <v>600</v>
      </c>
      <c r="P130">
        <f t="shared" si="94"/>
        <v>2.495248519207983</v>
      </c>
      <c r="Q130">
        <f t="shared" si="95"/>
        <v>13.704987509226017</v>
      </c>
      <c r="R130">
        <f t="shared" si="96"/>
        <v>11.077184039195915</v>
      </c>
      <c r="T130">
        <f t="shared" si="110"/>
        <v>114</v>
      </c>
      <c r="U130">
        <f t="shared" si="97"/>
        <v>0.69466353779916756</v>
      </c>
      <c r="V130">
        <f t="shared" si="98"/>
        <v>4.0074695452312833E-2</v>
      </c>
      <c r="W130">
        <f t="shared" si="99"/>
        <v>230.75744311715249</v>
      </c>
      <c r="X130">
        <f t="shared" si="100"/>
        <v>330.59210526315792</v>
      </c>
      <c r="Y130">
        <f t="shared" si="101"/>
        <v>11.381151484644619</v>
      </c>
      <c r="Z130">
        <f t="shared" si="102"/>
        <v>2236.3962667326678</v>
      </c>
      <c r="AA130">
        <f t="shared" si="111"/>
        <v>400</v>
      </c>
      <c r="AB130">
        <f t="shared" si="103"/>
        <v>3.4596037114457396</v>
      </c>
      <c r="AC130">
        <f t="shared" si="104"/>
        <v>19.095560830242047</v>
      </c>
      <c r="AD130">
        <f t="shared" si="105"/>
        <v>16.329297161228464</v>
      </c>
      <c r="AH130">
        <f t="shared" si="106"/>
        <v>128</v>
      </c>
      <c r="AI130">
        <f t="shared" si="79"/>
        <v>0.68877009103683329</v>
      </c>
      <c r="AJ130">
        <f t="shared" si="80"/>
        <v>3.9684830079722191E-2</v>
      </c>
      <c r="AK130">
        <f t="shared" si="81"/>
        <v>288.08473680951374</v>
      </c>
      <c r="AL130">
        <f t="shared" si="82"/>
        <v>294.43359375</v>
      </c>
      <c r="AM130">
        <f t="shared" si="83"/>
        <v>0.81265368838224095</v>
      </c>
      <c r="AN130">
        <f t="shared" si="84"/>
        <v>159.68644976711033</v>
      </c>
      <c r="AO130">
        <f t="shared" si="107"/>
        <v>200</v>
      </c>
      <c r="AP130">
        <f t="shared" si="85"/>
        <v>8.410324944886252</v>
      </c>
      <c r="AQ130">
        <f t="shared" si="86"/>
        <v>21.512322056537894</v>
      </c>
      <c r="AR130">
        <f t="shared" si="87"/>
        <v>36.669298888372694</v>
      </c>
    </row>
    <row r="131" spans="1:44" ht="15.75" thickBot="1">
      <c r="A131" s="34" t="s">
        <v>52</v>
      </c>
      <c r="B131" s="36"/>
      <c r="C131" s="41"/>
      <c r="D131" s="42"/>
      <c r="H131">
        <f t="shared" si="108"/>
        <v>118</v>
      </c>
      <c r="I131">
        <f t="shared" si="88"/>
        <v>0.48627445439015271</v>
      </c>
      <c r="J131">
        <f t="shared" si="89"/>
        <v>2.8307064789229827E-2</v>
      </c>
      <c r="K131">
        <f t="shared" si="90"/>
        <v>174.63634702791654</v>
      </c>
      <c r="L131">
        <f t="shared" si="91"/>
        <v>319.38559322033899</v>
      </c>
      <c r="M131">
        <f t="shared" si="92"/>
        <v>17.080411050705852</v>
      </c>
      <c r="N131">
        <f t="shared" si="93"/>
        <v>3356.3007714636997</v>
      </c>
      <c r="O131">
        <f t="shared" si="109"/>
        <v>600</v>
      </c>
      <c r="P131">
        <f t="shared" si="94"/>
        <v>2.5682925025276289</v>
      </c>
      <c r="Q131">
        <f t="shared" si="95"/>
        <v>13.472699585340832</v>
      </c>
      <c r="R131">
        <f t="shared" si="96"/>
        <v>11.26816997090619</v>
      </c>
      <c r="T131">
        <f t="shared" si="110"/>
        <v>116</v>
      </c>
      <c r="U131">
        <f t="shared" si="97"/>
        <v>0.67091612197071804</v>
      </c>
      <c r="V131">
        <f t="shared" si="98"/>
        <v>3.8524021947191935E-2</v>
      </c>
      <c r="W131">
        <f t="shared" si="99"/>
        <v>229.68010864924966</v>
      </c>
      <c r="X131">
        <f t="shared" si="100"/>
        <v>324.89224137931035</v>
      </c>
      <c r="Y131">
        <f t="shared" si="101"/>
        <v>11.04460739668704</v>
      </c>
      <c r="Z131">
        <f t="shared" si="102"/>
        <v>2170.2653534490032</v>
      </c>
      <c r="AA131">
        <f t="shared" si="111"/>
        <v>400</v>
      </c>
      <c r="AB131">
        <f t="shared" si="103"/>
        <v>3.5719877713076893</v>
      </c>
      <c r="AC131">
        <f t="shared" si="104"/>
        <v>18.766327022824075</v>
      </c>
      <c r="AD131">
        <f t="shared" si="105"/>
        <v>16.615776058793873</v>
      </c>
      <c r="AH131">
        <f t="shared" si="106"/>
        <v>130</v>
      </c>
      <c r="AI131">
        <f t="shared" si="79"/>
        <v>0.66774018766553123</v>
      </c>
      <c r="AJ131">
        <f t="shared" si="80"/>
        <v>3.8320726538751251E-2</v>
      </c>
      <c r="AK131">
        <f t="shared" si="81"/>
        <v>286.94338940960949</v>
      </c>
      <c r="AL131">
        <f t="shared" si="82"/>
        <v>289.90384615384613</v>
      </c>
      <c r="AM131">
        <f t="shared" si="83"/>
        <v>0.38485937675076287</v>
      </c>
      <c r="AN131">
        <f t="shared" si="84"/>
        <v>75.624867531524899</v>
      </c>
      <c r="AO131">
        <f t="shared" si="107"/>
        <v>200</v>
      </c>
      <c r="AP131">
        <f t="shared" si="85"/>
        <v>8.6715125853307775</v>
      </c>
      <c r="AQ131">
        <f t="shared" si="86"/>
        <v>21.181363255668085</v>
      </c>
      <c r="AR131">
        <f t="shared" si="87"/>
        <v>37.24225668350352</v>
      </c>
    </row>
    <row r="132" spans="1:44">
      <c r="A132" s="8" t="s">
        <v>19</v>
      </c>
      <c r="B132" t="s">
        <v>51</v>
      </c>
      <c r="C132" s="38" t="s">
        <v>53</v>
      </c>
      <c r="D132" s="40"/>
      <c r="H132">
        <f t="shared" si="108"/>
        <v>120</v>
      </c>
      <c r="I132">
        <f t="shared" si="88"/>
        <v>0.47020038214781157</v>
      </c>
      <c r="J132">
        <f t="shared" si="89"/>
        <v>2.7571897060299902E-2</v>
      </c>
      <c r="K132">
        <f t="shared" si="90"/>
        <v>175.91583146543957</v>
      </c>
      <c r="L132">
        <f t="shared" si="91"/>
        <v>314.0625</v>
      </c>
      <c r="M132">
        <f t="shared" si="92"/>
        <v>16.577600224147254</v>
      </c>
      <c r="N132">
        <f t="shared" si="93"/>
        <v>3257.4984440449352</v>
      </c>
      <c r="O132">
        <f t="shared" si="109"/>
        <v>600</v>
      </c>
      <c r="P132">
        <f t="shared" si="94"/>
        <v>2.6429680195034067</v>
      </c>
      <c r="Q132">
        <f t="shared" si="95"/>
        <v>13.248154592251819</v>
      </c>
      <c r="R132">
        <f t="shared" si="96"/>
        <v>11.459155902616466</v>
      </c>
      <c r="T132">
        <f t="shared" si="110"/>
        <v>118</v>
      </c>
      <c r="U132">
        <f t="shared" si="97"/>
        <v>0.64836593918687035</v>
      </c>
      <c r="V132">
        <f t="shared" si="98"/>
        <v>3.7101448514186362E-2</v>
      </c>
      <c r="W132">
        <f t="shared" si="99"/>
        <v>228.89202699769262</v>
      </c>
      <c r="X132">
        <f t="shared" si="100"/>
        <v>319.38559322033899</v>
      </c>
      <c r="Y132">
        <f t="shared" si="101"/>
        <v>10.67824081427227</v>
      </c>
      <c r="Z132">
        <f t="shared" si="102"/>
        <v>2098.2743200045011</v>
      </c>
      <c r="AA132">
        <f t="shared" si="111"/>
        <v>400</v>
      </c>
      <c r="AB132">
        <f t="shared" si="103"/>
        <v>3.6866359125514645</v>
      </c>
      <c r="AC132">
        <f t="shared" si="104"/>
        <v>18.44825368345418</v>
      </c>
      <c r="AD132">
        <f t="shared" si="105"/>
        <v>16.902254956359286</v>
      </c>
      <c r="AH132">
        <f t="shared" si="106"/>
        <v>132</v>
      </c>
      <c r="AI132">
        <f t="shared" si="79"/>
        <v>0.6476589285782528</v>
      </c>
      <c r="AJ132">
        <f t="shared" si="80"/>
        <v>3.7057633169220186E-2</v>
      </c>
      <c r="AK132">
        <f t="shared" si="81"/>
        <v>286.08910905134485</v>
      </c>
      <c r="AL132">
        <f t="shared" si="82"/>
        <v>285.51136363636363</v>
      </c>
      <c r="AM132">
        <f t="shared" si="83"/>
        <v>-7.6262394777521419E-2</v>
      </c>
      <c r="AN132">
        <f t="shared" si="84"/>
        <v>-14.985560573782958</v>
      </c>
      <c r="AO132">
        <f t="shared" si="107"/>
        <v>200</v>
      </c>
      <c r="AP132">
        <f t="shared" si="85"/>
        <v>8.9368582511451145</v>
      </c>
      <c r="AQ132">
        <f t="shared" si="86"/>
        <v>20.860433509370079</v>
      </c>
      <c r="AR132">
        <f t="shared" si="87"/>
        <v>37.815214478634331</v>
      </c>
    </row>
    <row r="133" spans="1:44">
      <c r="A133" s="8">
        <f>72</f>
        <v>72</v>
      </c>
      <c r="B133">
        <f t="shared" ref="B133:B141" si="115">$D$133*A133^2+$D$134*A133+$D$135</f>
        <v>13.999099999999999</v>
      </c>
      <c r="C133" s="8" t="s">
        <v>54</v>
      </c>
      <c r="D133" s="11">
        <f>-0.003</f>
        <v>-3.0000000000000001E-3</v>
      </c>
      <c r="H133">
        <f t="shared" si="108"/>
        <v>122</v>
      </c>
      <c r="I133">
        <f t="shared" si="88"/>
        <v>0.45491034015912968</v>
      </c>
      <c r="J133">
        <f t="shared" si="89"/>
        <v>2.6895519232200248E-2</v>
      </c>
      <c r="K133">
        <f t="shared" si="90"/>
        <v>177.36804502701833</v>
      </c>
      <c r="L133">
        <f t="shared" si="91"/>
        <v>308.9139344262295</v>
      </c>
      <c r="M133">
        <f t="shared" si="92"/>
        <v>16.048598506703765</v>
      </c>
      <c r="N133">
        <f t="shared" si="93"/>
        <v>3153.5496065672901</v>
      </c>
      <c r="O133">
        <f t="shared" si="109"/>
        <v>600</v>
      </c>
      <c r="P133">
        <f t="shared" si="94"/>
        <v>2.71926191870587</v>
      </c>
      <c r="Q133">
        <f t="shared" si="95"/>
        <v>13.030971730083756</v>
      </c>
      <c r="R133">
        <f t="shared" si="96"/>
        <v>11.650141834326741</v>
      </c>
      <c r="T133">
        <f t="shared" si="110"/>
        <v>120</v>
      </c>
      <c r="U133">
        <f t="shared" si="97"/>
        <v>0.62693384286374876</v>
      </c>
      <c r="V133">
        <f t="shared" si="98"/>
        <v>3.579448366275538E-2</v>
      </c>
      <c r="W133">
        <f t="shared" si="99"/>
        <v>228.37805979177028</v>
      </c>
      <c r="X133">
        <f t="shared" si="100"/>
        <v>314.0625</v>
      </c>
      <c r="Y133">
        <f t="shared" si="101"/>
        <v>10.282132824987565</v>
      </c>
      <c r="Z133">
        <f t="shared" si="102"/>
        <v>2020.4391001100566</v>
      </c>
      <c r="AA133">
        <f t="shared" si="111"/>
        <v>400</v>
      </c>
      <c r="AB133">
        <f t="shared" si="103"/>
        <v>3.8035351835187434</v>
      </c>
      <c r="AC133">
        <f t="shared" si="104"/>
        <v>18.140782788729943</v>
      </c>
      <c r="AD133">
        <f t="shared" si="105"/>
        <v>17.188733853924703</v>
      </c>
      <c r="AH133">
        <f t="shared" si="106"/>
        <v>134</v>
      </c>
      <c r="AI133">
        <f t="shared" si="79"/>
        <v>0.62847010311580953</v>
      </c>
      <c r="AJ133">
        <f t="shared" si="80"/>
        <v>3.5886705815065888E-2</v>
      </c>
      <c r="AK133">
        <f t="shared" si="81"/>
        <v>285.50845646553347</v>
      </c>
      <c r="AL133">
        <f t="shared" si="82"/>
        <v>281.25</v>
      </c>
      <c r="AM133">
        <f t="shared" si="83"/>
        <v>-0.57063316638148498</v>
      </c>
      <c r="AN133">
        <f t="shared" si="84"/>
        <v>-112.1294171939618</v>
      </c>
      <c r="AO133">
        <f t="shared" si="107"/>
        <v>200</v>
      </c>
      <c r="AP133">
        <f t="shared" si="85"/>
        <v>9.2063572741731932</v>
      </c>
      <c r="AQ133">
        <f t="shared" si="86"/>
        <v>20.549083755498884</v>
      </c>
      <c r="AR133">
        <f t="shared" si="87"/>
        <v>38.388172273765157</v>
      </c>
    </row>
    <row r="134" spans="1:44">
      <c r="A134" s="8">
        <f>A133+9</f>
        <v>81</v>
      </c>
      <c r="B134">
        <f t="shared" si="115"/>
        <v>14.649799999999999</v>
      </c>
      <c r="C134" s="8" t="s">
        <v>37</v>
      </c>
      <c r="D134" s="11">
        <v>0.53129999999999999</v>
      </c>
      <c r="H134">
        <f t="shared" si="108"/>
        <v>124</v>
      </c>
      <c r="I134">
        <f t="shared" si="88"/>
        <v>0.44035415601772149</v>
      </c>
      <c r="J134">
        <f t="shared" si="89"/>
        <v>2.6272378883471972E-2</v>
      </c>
      <c r="K134">
        <f t="shared" si="90"/>
        <v>178.98579035380786</v>
      </c>
      <c r="L134">
        <f t="shared" si="91"/>
        <v>303.93145161290323</v>
      </c>
      <c r="M134">
        <f t="shared" si="92"/>
        <v>15.493261996127828</v>
      </c>
      <c r="N134">
        <f t="shared" si="93"/>
        <v>3044.4259822391182</v>
      </c>
      <c r="O134">
        <f t="shared" si="109"/>
        <v>600</v>
      </c>
      <c r="P134">
        <f t="shared" si="94"/>
        <v>2.7971616404472965</v>
      </c>
      <c r="Q134">
        <f t="shared" si="95"/>
        <v>12.820794766695307</v>
      </c>
      <c r="R134">
        <f t="shared" si="96"/>
        <v>11.841127766037014</v>
      </c>
      <c r="T134">
        <f t="shared" si="110"/>
        <v>122</v>
      </c>
      <c r="U134">
        <f t="shared" si="97"/>
        <v>0.60654712021217294</v>
      </c>
      <c r="V134">
        <f t="shared" si="98"/>
        <v>3.4592034190578221E-2</v>
      </c>
      <c r="W134">
        <f t="shared" si="99"/>
        <v>228.12429925297656</v>
      </c>
      <c r="X134">
        <f t="shared" si="100"/>
        <v>308.9139344262295</v>
      </c>
      <c r="Y134">
        <f t="shared" si="101"/>
        <v>9.8563354911368588</v>
      </c>
      <c r="Z134">
        <f t="shared" si="102"/>
        <v>1936.7699240083928</v>
      </c>
      <c r="AA134">
        <f t="shared" si="111"/>
        <v>400</v>
      </c>
      <c r="AB134">
        <f t="shared" si="103"/>
        <v>3.9226734647022101</v>
      </c>
      <c r="AC134">
        <f t="shared" si="104"/>
        <v>17.843392906947486</v>
      </c>
      <c r="AD134">
        <f t="shared" si="105"/>
        <v>17.475212751490108</v>
      </c>
      <c r="AH134">
        <f t="shared" si="106"/>
        <v>136</v>
      </c>
      <c r="AI134">
        <f t="shared" si="79"/>
        <v>0.61012160313297348</v>
      </c>
      <c r="AJ134">
        <f t="shared" si="80"/>
        <v>3.4799990710176767E-2</v>
      </c>
      <c r="AK134">
        <f t="shared" si="81"/>
        <v>285.18897324302947</v>
      </c>
      <c r="AL134">
        <f t="shared" si="82"/>
        <v>277.1139705882353</v>
      </c>
      <c r="AM134">
        <f t="shared" si="83"/>
        <v>-1.0982003610520059</v>
      </c>
      <c r="AN134">
        <f t="shared" si="84"/>
        <v>-215.79637094671915</v>
      </c>
      <c r="AO134">
        <f t="shared" si="107"/>
        <v>200</v>
      </c>
      <c r="AP134">
        <f t="shared" si="85"/>
        <v>9.4800053153367898</v>
      </c>
      <c r="AQ134">
        <f t="shared" si="86"/>
        <v>20.246891347329782</v>
      </c>
      <c r="AR134">
        <f t="shared" si="87"/>
        <v>38.96113006889599</v>
      </c>
    </row>
    <row r="135" spans="1:44" ht="15.75" thickBot="1">
      <c r="A135" s="8">
        <f t="shared" ref="A135:A141" si="116">A134+9</f>
        <v>90</v>
      </c>
      <c r="B135">
        <f t="shared" si="115"/>
        <v>14.814499999999999</v>
      </c>
      <c r="C135" s="19" t="s">
        <v>55</v>
      </c>
      <c r="D135" s="20">
        <v>-8.7025000000000006</v>
      </c>
      <c r="H135">
        <f t="shared" si="108"/>
        <v>126</v>
      </c>
      <c r="I135">
        <f t="shared" si="88"/>
        <v>0.42648560739030522</v>
      </c>
      <c r="J135">
        <f t="shared" si="89"/>
        <v>2.5697525874753747E-2</v>
      </c>
      <c r="K135">
        <f t="shared" si="90"/>
        <v>180.76243673496049</v>
      </c>
      <c r="L135">
        <f t="shared" si="91"/>
        <v>299.10714285714283</v>
      </c>
      <c r="M135">
        <f t="shared" si="92"/>
        <v>14.911432971394975</v>
      </c>
      <c r="N135">
        <f t="shared" si="93"/>
        <v>2930.0965788791127</v>
      </c>
      <c r="O135">
        <f t="shared" si="109"/>
        <v>600</v>
      </c>
      <c r="P135">
        <f t="shared" si="94"/>
        <v>2.8766552087100807</v>
      </c>
      <c r="Q135">
        <f t="shared" si="95"/>
        <v>12.617290087858875</v>
      </c>
      <c r="R135">
        <f t="shared" si="96"/>
        <v>12.032113697747288</v>
      </c>
      <c r="T135">
        <f t="shared" si="110"/>
        <v>124</v>
      </c>
      <c r="U135">
        <f t="shared" si="97"/>
        <v>0.58713887469029535</v>
      </c>
      <c r="V135">
        <f t="shared" si="98"/>
        <v>3.3484229126172396E-2</v>
      </c>
      <c r="W135">
        <f t="shared" si="99"/>
        <v>228.11795007669824</v>
      </c>
      <c r="X135">
        <f t="shared" si="100"/>
        <v>303.93145161290323</v>
      </c>
      <c r="Y135">
        <f t="shared" si="101"/>
        <v>9.4008741904894197</v>
      </c>
      <c r="Z135">
        <f t="shared" si="102"/>
        <v>1847.271778431171</v>
      </c>
      <c r="AA135">
        <f t="shared" si="111"/>
        <v>400</v>
      </c>
      <c r="AB135">
        <f t="shared" si="103"/>
        <v>4.0440394157669974</v>
      </c>
      <c r="AC135">
        <f t="shared" si="104"/>
        <v>17.555596247158007</v>
      </c>
      <c r="AD135">
        <f t="shared" si="105"/>
        <v>17.761691649055525</v>
      </c>
      <c r="AH135">
        <f t="shared" si="106"/>
        <v>138</v>
      </c>
      <c r="AI135">
        <f t="shared" si="79"/>
        <v>0.59256506886932769</v>
      </c>
      <c r="AJ135">
        <f t="shared" si="80"/>
        <v>3.379032348972754E-2</v>
      </c>
      <c r="AK135">
        <f t="shared" si="81"/>
        <v>285.11909716685454</v>
      </c>
      <c r="AL135">
        <f t="shared" si="82"/>
        <v>273.0978260869565</v>
      </c>
      <c r="AM135">
        <f t="shared" si="83"/>
        <v>-1.6589354090259298</v>
      </c>
      <c r="AN135">
        <f t="shared" si="84"/>
        <v>-325.98080787359521</v>
      </c>
      <c r="AO135">
        <f t="shared" si="107"/>
        <v>200</v>
      </c>
      <c r="AP135">
        <f t="shared" si="85"/>
        <v>9.7577983376519395</v>
      </c>
      <c r="AQ135">
        <f t="shared" si="86"/>
        <v>19.953458139397469</v>
      </c>
      <c r="AR135">
        <f t="shared" si="87"/>
        <v>39.534087864026795</v>
      </c>
    </row>
    <row r="136" spans="1:44">
      <c r="A136" s="8">
        <f t="shared" si="116"/>
        <v>99</v>
      </c>
      <c r="B136">
        <f t="shared" si="115"/>
        <v>14.493199999999998</v>
      </c>
      <c r="D136" s="11"/>
      <c r="H136">
        <f t="shared" si="108"/>
        <v>128</v>
      </c>
      <c r="I136">
        <f t="shared" si="88"/>
        <v>0.41326205462209997</v>
      </c>
      <c r="J136">
        <f t="shared" si="89"/>
        <v>2.5166538828699989E-2</v>
      </c>
      <c r="K136">
        <f t="shared" si="90"/>
        <v>182.69186740393872</v>
      </c>
      <c r="L136">
        <f t="shared" si="91"/>
        <v>294.43359375</v>
      </c>
      <c r="M136">
        <f t="shared" si="92"/>
        <v>14.302940972295845</v>
      </c>
      <c r="N136">
        <f t="shared" si="93"/>
        <v>2810.5279010561335</v>
      </c>
      <c r="O136">
        <f t="shared" si="109"/>
        <v>600</v>
      </c>
      <c r="P136">
        <f t="shared" si="94"/>
        <v>2.9577312190742102</v>
      </c>
      <c r="Q136">
        <f t="shared" si="95"/>
        <v>12.420144930236079</v>
      </c>
      <c r="R136">
        <f t="shared" si="96"/>
        <v>12.223099629457563</v>
      </c>
      <c r="T136">
        <f t="shared" si="110"/>
        <v>126</v>
      </c>
      <c r="U136">
        <f t="shared" si="97"/>
        <v>0.56864747652040704</v>
      </c>
      <c r="V136">
        <f t="shared" si="98"/>
        <v>3.2462268221784447E-2</v>
      </c>
      <c r="W136">
        <f t="shared" si="99"/>
        <v>228.34722433253935</v>
      </c>
      <c r="X136">
        <f t="shared" si="100"/>
        <v>299.10714285714283</v>
      </c>
      <c r="Y136">
        <f t="shared" si="101"/>
        <v>8.9157497341000376</v>
      </c>
      <c r="Z136">
        <f t="shared" si="102"/>
        <v>1751.9448227506573</v>
      </c>
      <c r="AA136">
        <f t="shared" si="111"/>
        <v>400</v>
      </c>
      <c r="AB136">
        <f t="shared" si="103"/>
        <v>4.1676224249621496</v>
      </c>
      <c r="AC136">
        <f t="shared" si="104"/>
        <v>17.276935989266612</v>
      </c>
      <c r="AD136">
        <f t="shared" si="105"/>
        <v>18.048170546620938</v>
      </c>
      <c r="AH136">
        <f t="shared" si="106"/>
        <v>140</v>
      </c>
      <c r="AI136">
        <f t="shared" si="79"/>
        <v>0.57575556997691213</v>
      </c>
      <c r="AJ136">
        <f t="shared" si="80"/>
        <v>3.2851240906738716E-2</v>
      </c>
      <c r="AK136">
        <f t="shared" si="81"/>
        <v>285.28808594987674</v>
      </c>
      <c r="AL136">
        <f t="shared" si="82"/>
        <v>269.19642857142856</v>
      </c>
      <c r="AM136">
        <f t="shared" si="83"/>
        <v>-2.2528320329827465</v>
      </c>
      <c r="AN136">
        <f t="shared" si="84"/>
        <v>-442.68149448110967</v>
      </c>
      <c r="AO136">
        <f t="shared" si="107"/>
        <v>200</v>
      </c>
      <c r="AP136">
        <f t="shared" si="85"/>
        <v>10.039732581734498</v>
      </c>
      <c r="AQ136">
        <f t="shared" si="86"/>
        <v>19.668408737406075</v>
      </c>
      <c r="AR136">
        <f t="shared" si="87"/>
        <v>40.107045659157627</v>
      </c>
    </row>
    <row r="137" spans="1:44">
      <c r="A137" s="8">
        <f t="shared" si="116"/>
        <v>108</v>
      </c>
      <c r="B137">
        <f t="shared" si="115"/>
        <v>13.685900000000004</v>
      </c>
      <c r="D137" s="11"/>
      <c r="H137">
        <f t="shared" si="108"/>
        <v>130</v>
      </c>
      <c r="I137">
        <f t="shared" si="88"/>
        <v>0.40064411259931876</v>
      </c>
      <c r="J137">
        <f t="shared" si="89"/>
        <v>2.4675461553950451E-2</v>
      </c>
      <c r="K137">
        <f t="shared" si="90"/>
        <v>184.76843246635849</v>
      </c>
      <c r="L137">
        <f t="shared" si="91"/>
        <v>289.90384615384613</v>
      </c>
      <c r="M137">
        <f t="shared" si="92"/>
        <v>13.667603779373394</v>
      </c>
      <c r="N137">
        <f t="shared" si="93"/>
        <v>2685.6841426468718</v>
      </c>
      <c r="O137">
        <f t="shared" si="109"/>
        <v>600</v>
      </c>
      <c r="P137">
        <f t="shared" si="94"/>
        <v>3.0403788235742759</v>
      </c>
      <c r="Q137">
        <f t="shared" si="95"/>
        <v>12.229065777463218</v>
      </c>
      <c r="R137">
        <f t="shared" si="96"/>
        <v>12.414085561167841</v>
      </c>
      <c r="T137">
        <f t="shared" si="110"/>
        <v>128</v>
      </c>
      <c r="U137">
        <f t="shared" si="97"/>
        <v>0.55101607282946663</v>
      </c>
      <c r="V137">
        <f t="shared" si="98"/>
        <v>3.1518291251022207E-2</v>
      </c>
      <c r="W137">
        <f t="shared" si="99"/>
        <v>228.80124776887783</v>
      </c>
      <c r="X137">
        <f t="shared" si="100"/>
        <v>294.43359375</v>
      </c>
      <c r="Y137">
        <f t="shared" si="101"/>
        <v>8.400940285583637</v>
      </c>
      <c r="Z137">
        <f t="shared" si="102"/>
        <v>1650.7847661171847</v>
      </c>
      <c r="AA137">
        <f t="shared" si="111"/>
        <v>400</v>
      </c>
      <c r="AB137">
        <f t="shared" si="103"/>
        <v>4.2934125610805189</v>
      </c>
      <c r="AC137">
        <f t="shared" si="104"/>
        <v>17.006983864434321</v>
      </c>
      <c r="AD137">
        <f t="shared" si="105"/>
        <v>18.334649444186347</v>
      </c>
      <c r="AH137">
        <f t="shared" si="106"/>
        <v>142</v>
      </c>
      <c r="AI137">
        <f t="shared" si="79"/>
        <v>0.55965131777164634</v>
      </c>
      <c r="AJ137">
        <f t="shared" si="80"/>
        <v>3.1976903502400983E-2</v>
      </c>
      <c r="AK137">
        <f t="shared" si="81"/>
        <v>285.68594843770626</v>
      </c>
      <c r="AL137">
        <f t="shared" si="82"/>
        <v>265.40492957746477</v>
      </c>
      <c r="AM137">
        <f t="shared" si="83"/>
        <v>-2.8799046781542912</v>
      </c>
      <c r="AN137">
        <f t="shared" si="84"/>
        <v>-565.90126925731818</v>
      </c>
      <c r="AO137">
        <f t="shared" si="107"/>
        <v>200</v>
      </c>
      <c r="AP137">
        <f t="shared" si="85"/>
        <v>10.325804543543642</v>
      </c>
      <c r="AQ137">
        <f t="shared" si="86"/>
        <v>19.391388896034158</v>
      </c>
      <c r="AR137">
        <f t="shared" si="87"/>
        <v>40.680003454288446</v>
      </c>
    </row>
    <row r="138" spans="1:44">
      <c r="A138" s="8">
        <f t="shared" si="116"/>
        <v>117</v>
      </c>
      <c r="B138">
        <f t="shared" si="115"/>
        <v>12.392600000000002</v>
      </c>
      <c r="D138" s="11"/>
      <c r="H138">
        <f t="shared" si="108"/>
        <v>132</v>
      </c>
      <c r="I138">
        <f t="shared" si="88"/>
        <v>0.3885953571469517</v>
      </c>
      <c r="J138">
        <f t="shared" si="89"/>
        <v>2.422074794091927E-2</v>
      </c>
      <c r="K138">
        <f t="shared" si="90"/>
        <v>186.98690678200708</v>
      </c>
      <c r="L138">
        <f t="shared" si="91"/>
        <v>285.51136363636363</v>
      </c>
      <c r="M138">
        <f t="shared" si="92"/>
        <v>13.005228304775065</v>
      </c>
      <c r="N138">
        <f t="shared" si="93"/>
        <v>2555.5273618883002</v>
      </c>
      <c r="O138">
        <f t="shared" si="109"/>
        <v>600</v>
      </c>
      <c r="P138">
        <f t="shared" si="94"/>
        <v>3.1245877132664419</v>
      </c>
      <c r="Q138">
        <f t="shared" si="95"/>
        <v>12.043776902047107</v>
      </c>
      <c r="R138">
        <f t="shared" si="96"/>
        <v>12.60507149287811</v>
      </c>
      <c r="T138">
        <f t="shared" si="110"/>
        <v>130</v>
      </c>
      <c r="U138">
        <f t="shared" si="97"/>
        <v>0.53419215013242505</v>
      </c>
      <c r="V138">
        <f t="shared" si="98"/>
        <v>3.0645264984800802E-2</v>
      </c>
      <c r="W138">
        <f t="shared" si="99"/>
        <v>229.46997612903081</v>
      </c>
      <c r="X138">
        <f t="shared" si="100"/>
        <v>289.90384615384613</v>
      </c>
      <c r="Y138">
        <f t="shared" si="101"/>
        <v>7.8564031032259916</v>
      </c>
      <c r="Z138">
        <f t="shared" si="102"/>
        <v>1543.7832097839073</v>
      </c>
      <c r="AA138">
        <f t="shared" si="111"/>
        <v>400</v>
      </c>
      <c r="AB138">
        <f t="shared" si="103"/>
        <v>4.4214005280439723</v>
      </c>
      <c r="AC138">
        <f t="shared" si="104"/>
        <v>16.745337958827641</v>
      </c>
      <c r="AD138">
        <f t="shared" si="105"/>
        <v>18.62112834175176</v>
      </c>
      <c r="AH138">
        <f t="shared" si="106"/>
        <v>144</v>
      </c>
      <c r="AI138">
        <f t="shared" si="79"/>
        <v>0.54421340526367079</v>
      </c>
      <c r="AJ138">
        <f t="shared" si="80"/>
        <v>3.116202774067095E-2</v>
      </c>
      <c r="AK138">
        <f t="shared" si="81"/>
        <v>286.30338245318472</v>
      </c>
      <c r="AL138">
        <f t="shared" si="82"/>
        <v>261.71875</v>
      </c>
      <c r="AM138">
        <f t="shared" si="83"/>
        <v>-3.5401870732586005</v>
      </c>
      <c r="AN138">
        <f t="shared" si="84"/>
        <v>-695.64675989531497</v>
      </c>
      <c r="AO138">
        <f t="shared" si="107"/>
        <v>200</v>
      </c>
      <c r="AP138">
        <f t="shared" si="85"/>
        <v>10.616010954139153</v>
      </c>
      <c r="AQ138">
        <f t="shared" si="86"/>
        <v>19.122064050255908</v>
      </c>
      <c r="AR138">
        <f t="shared" si="87"/>
        <v>41.252961249419279</v>
      </c>
    </row>
    <row r="139" spans="1:44">
      <c r="A139" s="8">
        <f t="shared" si="116"/>
        <v>126</v>
      </c>
      <c r="B139">
        <f t="shared" si="115"/>
        <v>10.613299999999995</v>
      </c>
      <c r="D139" s="11"/>
      <c r="H139">
        <f t="shared" si="108"/>
        <v>134</v>
      </c>
      <c r="I139">
        <f t="shared" si="88"/>
        <v>0.37708206186948573</v>
      </c>
      <c r="J139">
        <f t="shared" si="89"/>
        <v>2.3799214093423723E-2</v>
      </c>
      <c r="K139">
        <f t="shared" si="90"/>
        <v>189.3424522139774</v>
      </c>
      <c r="L139">
        <f t="shared" si="91"/>
        <v>281.25</v>
      </c>
      <c r="M139">
        <f t="shared" si="92"/>
        <v>12.315611403327029</v>
      </c>
      <c r="N139">
        <f t="shared" si="93"/>
        <v>2420.017640753761</v>
      </c>
      <c r="O139">
        <f t="shared" si="109"/>
        <v>600</v>
      </c>
      <c r="P139">
        <f t="shared" si="94"/>
        <v>3.2103480991548023</v>
      </c>
      <c r="Q139">
        <f t="shared" si="95"/>
        <v>11.864019037837449</v>
      </c>
      <c r="R139">
        <f t="shared" si="96"/>
        <v>12.796057424588387</v>
      </c>
      <c r="T139">
        <f t="shared" si="110"/>
        <v>132</v>
      </c>
      <c r="U139">
        <f t="shared" si="97"/>
        <v>0.51812714286260231</v>
      </c>
      <c r="V139">
        <f t="shared" si="98"/>
        <v>2.9836885228300927E-2</v>
      </c>
      <c r="W139">
        <f t="shared" si="99"/>
        <v>230.3441202748424</v>
      </c>
      <c r="X139">
        <f t="shared" si="100"/>
        <v>285.51136363636363</v>
      </c>
      <c r="Y139">
        <f t="shared" si="101"/>
        <v>7.2820761237208025</v>
      </c>
      <c r="Z139">
        <f t="shared" si="102"/>
        <v>1430.9279583111377</v>
      </c>
      <c r="AA139">
        <f t="shared" si="111"/>
        <v>400</v>
      </c>
      <c r="AB139">
        <f t="shared" si="103"/>
        <v>4.5515776221289617</v>
      </c>
      <c r="AC139">
        <f t="shared" si="104"/>
        <v>16.491620717027217</v>
      </c>
      <c r="AD139">
        <f t="shared" si="105"/>
        <v>18.907607239317166</v>
      </c>
      <c r="AH139">
        <f t="shared" si="106"/>
        <v>146</v>
      </c>
      <c r="AI139">
        <f t="shared" si="79"/>
        <v>0.52940557194349214</v>
      </c>
      <c r="AJ139">
        <f t="shared" si="80"/>
        <v>3.0401826337440992E-2</v>
      </c>
      <c r="AK139">
        <f t="shared" si="81"/>
        <v>287.13171855967954</v>
      </c>
      <c r="AL139">
        <f t="shared" si="82"/>
        <v>258.13356164383561</v>
      </c>
      <c r="AM139">
        <f t="shared" si="83"/>
        <v>-4.2337309097132145</v>
      </c>
      <c r="AN139">
        <f t="shared" si="84"/>
        <v>-831.92812375864662</v>
      </c>
      <c r="AO139">
        <f t="shared" si="107"/>
        <v>200</v>
      </c>
      <c r="AP139">
        <f t="shared" si="85"/>
        <v>10.910348761252262</v>
      </c>
      <c r="AQ139">
        <f t="shared" si="86"/>
        <v>18.86011796737569</v>
      </c>
      <c r="AR139">
        <f t="shared" si="87"/>
        <v>41.825919044550098</v>
      </c>
    </row>
    <row r="140" spans="1:44">
      <c r="A140" s="8">
        <f t="shared" si="116"/>
        <v>135</v>
      </c>
      <c r="B140">
        <f t="shared" si="115"/>
        <v>8.3479999999999919</v>
      </c>
      <c r="D140" s="11"/>
      <c r="H140">
        <f t="shared" si="108"/>
        <v>136</v>
      </c>
      <c r="I140">
        <f t="shared" si="88"/>
        <v>0.36607296187978405</v>
      </c>
      <c r="J140">
        <f t="shared" si="89"/>
        <v>2.3407996655663635E-2</v>
      </c>
      <c r="K140">
        <f t="shared" si="90"/>
        <v>191.83058373497684</v>
      </c>
      <c r="L140">
        <f t="shared" si="91"/>
        <v>277.1139705882353</v>
      </c>
      <c r="M140">
        <f t="shared" si="92"/>
        <v>11.59854061204315</v>
      </c>
      <c r="N140">
        <f t="shared" si="93"/>
        <v>2279.1132302664791</v>
      </c>
      <c r="O140">
        <f t="shared" si="109"/>
        <v>600</v>
      </c>
      <c r="P140">
        <f t="shared" si="94"/>
        <v>3.2976506920131583</v>
      </c>
      <c r="Q140">
        <f t="shared" si="95"/>
        <v>11.689548169633957</v>
      </c>
      <c r="R140">
        <f t="shared" si="96"/>
        <v>12.98704335629866</v>
      </c>
      <c r="T140">
        <f t="shared" si="110"/>
        <v>134</v>
      </c>
      <c r="U140">
        <f t="shared" si="97"/>
        <v>0.50277608249264771</v>
      </c>
      <c r="V140">
        <f t="shared" si="98"/>
        <v>2.9087491721642177E-2</v>
      </c>
      <c r="W140">
        <f t="shared" si="99"/>
        <v>231.4150790740332</v>
      </c>
      <c r="X140">
        <f t="shared" si="100"/>
        <v>281.25</v>
      </c>
      <c r="Y140">
        <f t="shared" si="101"/>
        <v>6.6778794040795511</v>
      </c>
      <c r="Z140">
        <f t="shared" si="102"/>
        <v>1312.2033029016318</v>
      </c>
      <c r="AA140">
        <f t="shared" si="111"/>
        <v>400</v>
      </c>
      <c r="AB140">
        <f t="shared" si="103"/>
        <v>4.6839356918013308</v>
      </c>
      <c r="AC140">
        <f t="shared" si="104"/>
        <v>16.245477124235769</v>
      </c>
      <c r="AD140">
        <f t="shared" si="105"/>
        <v>19.194086136882579</v>
      </c>
      <c r="AH140">
        <f t="shared" si="106"/>
        <v>148</v>
      </c>
      <c r="AI140">
        <f t="shared" si="79"/>
        <v>0.51519399066597327</v>
      </c>
      <c r="AJ140">
        <f t="shared" si="80"/>
        <v>2.9691955699470206E-2</v>
      </c>
      <c r="AK140">
        <f t="shared" si="81"/>
        <v>288.16286910769725</v>
      </c>
      <c r="AL140">
        <f t="shared" si="82"/>
        <v>254.64527027027026</v>
      </c>
      <c r="AM140">
        <f t="shared" si="83"/>
        <v>-4.960604627939194</v>
      </c>
      <c r="AN140">
        <f t="shared" si="84"/>
        <v>-974.75880939005162</v>
      </c>
      <c r="AO140">
        <f t="shared" si="107"/>
        <v>200</v>
      </c>
      <c r="AP140">
        <f t="shared" si="85"/>
        <v>11.208815112491186</v>
      </c>
      <c r="AQ140">
        <f t="shared" si="86"/>
        <v>18.6052515083571</v>
      </c>
      <c r="AR140">
        <f t="shared" si="87"/>
        <v>42.398876839680916</v>
      </c>
    </row>
    <row r="141" spans="1:44">
      <c r="A141" s="8">
        <f t="shared" si="116"/>
        <v>144</v>
      </c>
      <c r="B141">
        <f t="shared" si="115"/>
        <v>5.5966999999999985</v>
      </c>
      <c r="D141" s="11"/>
      <c r="H141">
        <f t="shared" si="108"/>
        <v>138</v>
      </c>
      <c r="I141">
        <f t="shared" si="88"/>
        <v>0.35553904132159664</v>
      </c>
      <c r="J141">
        <f t="shared" si="89"/>
        <v>2.3044516456301917E-2</v>
      </c>
      <c r="K141">
        <f t="shared" si="90"/>
        <v>194.44713894689332</v>
      </c>
      <c r="L141">
        <f t="shared" si="91"/>
        <v>273.0978260869565</v>
      </c>
      <c r="M141">
        <f t="shared" si="92"/>
        <v>10.85379482532872</v>
      </c>
      <c r="N141">
        <f t="shared" si="93"/>
        <v>2132.7706831770934</v>
      </c>
      <c r="O141">
        <f t="shared" si="109"/>
        <v>600</v>
      </c>
      <c r="P141">
        <f t="shared" si="94"/>
        <v>3.3864866815408656</v>
      </c>
      <c r="Q141">
        <f t="shared" si="95"/>
        <v>11.520134428045059</v>
      </c>
      <c r="R141">
        <f t="shared" si="96"/>
        <v>13.178029288008934</v>
      </c>
      <c r="T141">
        <f t="shared" si="110"/>
        <v>136</v>
      </c>
      <c r="U141">
        <f t="shared" si="97"/>
        <v>0.48809728250637874</v>
      </c>
      <c r="V141">
        <f t="shared" si="98"/>
        <v>2.8391994054513127E-2</v>
      </c>
      <c r="W141">
        <f t="shared" si="99"/>
        <v>232.67487914474984</v>
      </c>
      <c r="X141">
        <f t="shared" si="100"/>
        <v>277.1139705882353</v>
      </c>
      <c r="Y141">
        <f t="shared" si="101"/>
        <v>6.0437164363140239</v>
      </c>
      <c r="Z141">
        <f t="shared" si="102"/>
        <v>1187.5902797357057</v>
      </c>
      <c r="AA141">
        <f t="shared" si="111"/>
        <v>400</v>
      </c>
      <c r="AB141">
        <f t="shared" si="103"/>
        <v>4.8184671000955737</v>
      </c>
      <c r="AC141">
        <f t="shared" si="104"/>
        <v>16.00657304887936</v>
      </c>
      <c r="AD141">
        <f t="shared" si="105"/>
        <v>19.480565034447995</v>
      </c>
      <c r="AH141">
        <f t="shared" si="106"/>
        <v>150</v>
      </c>
      <c r="AI141">
        <f t="shared" si="79"/>
        <v>0.50154707429099898</v>
      </c>
      <c r="AJ141">
        <f t="shared" si="80"/>
        <v>2.9028469544163445E-2</v>
      </c>
      <c r="AK141">
        <f t="shared" si="81"/>
        <v>289.38928200507303</v>
      </c>
      <c r="AL141">
        <f t="shared" si="82"/>
        <v>251.25</v>
      </c>
      <c r="AM141">
        <f t="shared" si="83"/>
        <v>-5.720892300760954</v>
      </c>
      <c r="AN141">
        <f t="shared" si="84"/>
        <v>-1124.1553370995275</v>
      </c>
      <c r="AO141">
        <f t="shared" si="107"/>
        <v>200</v>
      </c>
      <c r="AP141">
        <f t="shared" si="85"/>
        <v>11.511407340021464</v>
      </c>
      <c r="AQ141">
        <f t="shared" si="86"/>
        <v>18.357181488245672</v>
      </c>
      <c r="AR141">
        <f t="shared" si="87"/>
        <v>42.971834634811756</v>
      </c>
    </row>
    <row r="142" spans="1:44" ht="15.75" thickBot="1">
      <c r="A142" s="19">
        <v>155</v>
      </c>
      <c r="B142" s="25">
        <v>0</v>
      </c>
      <c r="C142" s="25"/>
      <c r="D142" s="20"/>
      <c r="H142">
        <f t="shared" si="108"/>
        <v>140</v>
      </c>
      <c r="I142">
        <f t="shared" si="88"/>
        <v>0.34545334198614724</v>
      </c>
      <c r="J142">
        <f t="shared" si="89"/>
        <v>2.2706446726425935E-2</v>
      </c>
      <c r="K142">
        <f t="shared" si="90"/>
        <v>197.18825062635926</v>
      </c>
      <c r="L142">
        <f t="shared" si="91"/>
        <v>269.19642857142856</v>
      </c>
      <c r="M142">
        <f t="shared" si="92"/>
        <v>10.081144912309702</v>
      </c>
      <c r="N142">
        <f t="shared" si="93"/>
        <v>1980.9449752688563</v>
      </c>
      <c r="O142">
        <f t="shared" si="109"/>
        <v>600</v>
      </c>
      <c r="P142">
        <f t="shared" si="94"/>
        <v>3.4768477152082791</v>
      </c>
      <c r="Q142">
        <f t="shared" si="95"/>
        <v>11.355561079072986</v>
      </c>
      <c r="R142">
        <f t="shared" si="96"/>
        <v>13.369015219719211</v>
      </c>
      <c r="T142">
        <f t="shared" si="110"/>
        <v>138</v>
      </c>
      <c r="U142">
        <f t="shared" si="97"/>
        <v>0.47405205509546217</v>
      </c>
      <c r="V142">
        <f t="shared" si="98"/>
        <v>2.7745807033425628E-2</v>
      </c>
      <c r="W142">
        <f t="shared" si="99"/>
        <v>234.11612066812637</v>
      </c>
      <c r="X142">
        <f t="shared" si="100"/>
        <v>273.0978260869565</v>
      </c>
      <c r="Y142">
        <f t="shared" si="101"/>
        <v>5.3794753477985582</v>
      </c>
      <c r="Z142">
        <f t="shared" si="102"/>
        <v>1057.0669058424166</v>
      </c>
      <c r="AA142">
        <f t="shared" si="111"/>
        <v>400</v>
      </c>
      <c r="AB142">
        <f t="shared" si="103"/>
        <v>4.9551646894498615</v>
      </c>
      <c r="AC142">
        <f t="shared" si="104"/>
        <v>15.774593729330384</v>
      </c>
      <c r="AD142">
        <f t="shared" si="105"/>
        <v>19.767043932013401</v>
      </c>
      <c r="AH142">
        <f t="shared" si="106"/>
        <v>152</v>
      </c>
      <c r="AI142">
        <f t="shared" si="79"/>
        <v>0.48843530001503976</v>
      </c>
      <c r="AJ142">
        <f t="shared" si="80"/>
        <v>2.8407777903059938E-2</v>
      </c>
      <c r="AK142">
        <f t="shared" si="81"/>
        <v>290.80389871683332</v>
      </c>
      <c r="AL142">
        <f t="shared" si="82"/>
        <v>247.94407894736841</v>
      </c>
      <c r="AM142">
        <f t="shared" si="83"/>
        <v>-6.5146926049586655</v>
      </c>
      <c r="AN142">
        <f t="shared" si="84"/>
        <v>-1280.1370968743777</v>
      </c>
      <c r="AO142">
        <f t="shared" si="107"/>
        <v>200</v>
      </c>
      <c r="AP142">
        <f t="shared" si="85"/>
        <v>11.818122946578002</v>
      </c>
      <c r="AQ142">
        <f t="shared" si="86"/>
        <v>18.115639626558231</v>
      </c>
      <c r="AR142">
        <f t="shared" si="87"/>
        <v>43.544792429942568</v>
      </c>
    </row>
    <row r="143" spans="1:44">
      <c r="H143">
        <f t="shared" si="108"/>
        <v>142</v>
      </c>
      <c r="I143">
        <f t="shared" si="88"/>
        <v>0.33579079066298778</v>
      </c>
      <c r="J143">
        <f t="shared" si="89"/>
        <v>2.2391685260864352E-2</v>
      </c>
      <c r="K143">
        <f t="shared" si="90"/>
        <v>200.05032195779441</v>
      </c>
      <c r="L143">
        <f t="shared" si="91"/>
        <v>265.40492957746477</v>
      </c>
      <c r="M143">
        <f t="shared" si="92"/>
        <v>9.2803542819931923</v>
      </c>
      <c r="N143">
        <f t="shared" si="93"/>
        <v>1823.5896164116623</v>
      </c>
      <c r="O143">
        <f t="shared" si="109"/>
        <v>600</v>
      </c>
      <c r="P143">
        <f t="shared" si="94"/>
        <v>3.5687258770769299</v>
      </c>
      <c r="Q143">
        <f t="shared" si="95"/>
        <v>11.195623599086042</v>
      </c>
      <c r="R143">
        <f t="shared" si="96"/>
        <v>13.560001151429484</v>
      </c>
      <c r="T143">
        <f t="shared" si="110"/>
        <v>140</v>
      </c>
      <c r="U143">
        <f t="shared" si="97"/>
        <v>0.46060445598152971</v>
      </c>
      <c r="V143">
        <f t="shared" si="98"/>
        <v>2.7144794180312778E-2</v>
      </c>
      <c r="W143">
        <f t="shared" si="99"/>
        <v>235.73192858039818</v>
      </c>
      <c r="X143">
        <f t="shared" si="100"/>
        <v>269.19642857142856</v>
      </c>
      <c r="Y143">
        <f t="shared" si="101"/>
        <v>4.6850299987442527</v>
      </c>
      <c r="Z143">
        <f t="shared" si="102"/>
        <v>920.60839475324565</v>
      </c>
      <c r="AA143">
        <f t="shared" si="111"/>
        <v>400</v>
      </c>
      <c r="AB143">
        <f t="shared" si="103"/>
        <v>5.0940217488920592</v>
      </c>
      <c r="AC143">
        <f t="shared" si="104"/>
        <v>15.54924239033995</v>
      </c>
      <c r="AD143">
        <f t="shared" si="105"/>
        <v>20.053522829578814</v>
      </c>
      <c r="AH143">
        <f t="shared" si="106"/>
        <v>154</v>
      </c>
      <c r="AI143">
        <f t="shared" si="79"/>
        <v>0.47583104956769595</v>
      </c>
      <c r="AJ143">
        <f t="shared" si="80"/>
        <v>2.7826610823535762E-2</v>
      </c>
      <c r="AK143">
        <f t="shared" si="81"/>
        <v>292.40011605817767</v>
      </c>
      <c r="AL143">
        <f t="shared" si="82"/>
        <v>244.72402597402598</v>
      </c>
      <c r="AM143">
        <f t="shared" si="83"/>
        <v>-7.3421178729593608</v>
      </c>
      <c r="AN143">
        <f t="shared" si="84"/>
        <v>-1442.7261620365143</v>
      </c>
      <c r="AO143">
        <f t="shared" si="107"/>
        <v>200</v>
      </c>
      <c r="AP143">
        <f t="shared" si="85"/>
        <v>12.128959592680838</v>
      </c>
      <c r="AQ143">
        <f t="shared" si="86"/>
        <v>17.880371579460068</v>
      </c>
      <c r="AR143">
        <f t="shared" si="87"/>
        <v>44.117750225073401</v>
      </c>
    </row>
    <row r="144" spans="1:44" ht="15.75" thickBot="1">
      <c r="H144">
        <f t="shared" si="108"/>
        <v>144</v>
      </c>
      <c r="I144">
        <f t="shared" si="88"/>
        <v>0.3265280431582025</v>
      </c>
      <c r="J144">
        <f t="shared" si="89"/>
        <v>2.2098329986641543E-2</v>
      </c>
      <c r="K144">
        <f t="shared" si="90"/>
        <v>203.03000415742173</v>
      </c>
      <c r="L144">
        <f t="shared" si="91"/>
        <v>261.71875</v>
      </c>
      <c r="M144">
        <f t="shared" si="92"/>
        <v>8.451179401331272</v>
      </c>
      <c r="N144">
        <f t="shared" si="93"/>
        <v>1660.656752361595</v>
      </c>
      <c r="O144">
        <f t="shared" si="109"/>
        <v>600</v>
      </c>
      <c r="P144">
        <f t="shared" si="94"/>
        <v>3.6621136668202134</v>
      </c>
      <c r="Q144">
        <f t="shared" si="95"/>
        <v>11.040128826876517</v>
      </c>
      <c r="R144">
        <f t="shared" si="96"/>
        <v>13.75098708313976</v>
      </c>
      <c r="T144">
        <f t="shared" si="110"/>
        <v>142</v>
      </c>
      <c r="U144">
        <f t="shared" si="97"/>
        <v>0.44772105421731706</v>
      </c>
      <c r="V144">
        <f t="shared" si="98"/>
        <v>2.6585218241536625E-2</v>
      </c>
      <c r="W144">
        <f t="shared" si="99"/>
        <v>237.5159085427558</v>
      </c>
      <c r="X144">
        <f t="shared" si="100"/>
        <v>265.40492957746477</v>
      </c>
      <c r="Y144">
        <f t="shared" si="101"/>
        <v>3.9602409869286745</v>
      </c>
      <c r="Z144">
        <f t="shared" si="102"/>
        <v>778.18735393148449</v>
      </c>
      <c r="AA144">
        <f t="shared" si="111"/>
        <v>400</v>
      </c>
      <c r="AB144">
        <f t="shared" si="103"/>
        <v>5.2350319834616705</v>
      </c>
      <c r="AC144">
        <f t="shared" si="104"/>
        <v>15.330238976391501</v>
      </c>
      <c r="AD144">
        <f t="shared" si="105"/>
        <v>20.340001727144223</v>
      </c>
      <c r="AH144">
        <f t="shared" si="106"/>
        <v>156</v>
      </c>
      <c r="AI144">
        <f t="shared" si="79"/>
        <v>0.46370846365661889</v>
      </c>
      <c r="AJ144">
        <f t="shared" si="80"/>
        <v>2.7281986178024326E-2</v>
      </c>
      <c r="AK144">
        <f t="shared" si="81"/>
        <v>294.17175139407129</v>
      </c>
      <c r="AL144">
        <f t="shared" si="82"/>
        <v>241.58653846153845</v>
      </c>
      <c r="AM144">
        <f t="shared" si="83"/>
        <v>-8.2032932174751227</v>
      </c>
      <c r="AN144">
        <f t="shared" si="84"/>
        <v>-1611.9471172338617</v>
      </c>
      <c r="AO144">
        <f t="shared" si="107"/>
        <v>200</v>
      </c>
      <c r="AP144">
        <f t="shared" si="85"/>
        <v>12.44391508493978</v>
      </c>
      <c r="AQ144">
        <f t="shared" si="86"/>
        <v>17.651136046390068</v>
      </c>
      <c r="AR144">
        <f t="shared" si="87"/>
        <v>44.69070802020422</v>
      </c>
    </row>
    <row r="145" spans="1:44" ht="15.75" thickBot="1">
      <c r="A145" s="31" t="s">
        <v>62</v>
      </c>
      <c r="B145" s="32"/>
      <c r="C145" s="32"/>
      <c r="D145" s="33"/>
      <c r="H145">
        <f t="shared" si="108"/>
        <v>146</v>
      </c>
      <c r="I145">
        <f t="shared" si="88"/>
        <v>0.31764334316609527</v>
      </c>
      <c r="J145">
        <f t="shared" si="89"/>
        <v>2.1824657481478757E-2</v>
      </c>
      <c r="K145">
        <f t="shared" si="90"/>
        <v>206.12417622805344</v>
      </c>
      <c r="L145">
        <f t="shared" si="91"/>
        <v>258.13356164383561</v>
      </c>
      <c r="M145">
        <f t="shared" si="92"/>
        <v>7.5933702707041961</v>
      </c>
      <c r="N145">
        <f t="shared" si="93"/>
        <v>1492.0972581933745</v>
      </c>
      <c r="O145">
        <f t="shared" si="109"/>
        <v>600</v>
      </c>
      <c r="P145">
        <f t="shared" si="94"/>
        <v>3.7570039791206971</v>
      </c>
      <c r="Q145">
        <f t="shared" si="95"/>
        <v>10.888894185412454</v>
      </c>
      <c r="R145">
        <f t="shared" si="96"/>
        <v>13.941973014850033</v>
      </c>
      <c r="T145">
        <f t="shared" si="110"/>
        <v>144</v>
      </c>
      <c r="U145">
        <f t="shared" si="97"/>
        <v>0.43537072421093664</v>
      </c>
      <c r="V145">
        <f t="shared" si="98"/>
        <v>2.6063697754029409E-2</v>
      </c>
      <c r="W145">
        <f t="shared" si="99"/>
        <v>239.46210716181804</v>
      </c>
      <c r="X145">
        <f t="shared" si="100"/>
        <v>261.71875</v>
      </c>
      <c r="Y145">
        <f t="shared" si="101"/>
        <v>3.2049565686982024</v>
      </c>
      <c r="Z145">
        <f t="shared" si="102"/>
        <v>629.7739657491968</v>
      </c>
      <c r="AA145">
        <f t="shared" si="111"/>
        <v>400</v>
      </c>
      <c r="AB145">
        <f t="shared" si="103"/>
        <v>5.3781894857470975</v>
      </c>
      <c r="AC145">
        <f t="shared" si="104"/>
        <v>15.117318990608286</v>
      </c>
      <c r="AD145">
        <f t="shared" si="105"/>
        <v>20.626480624709639</v>
      </c>
      <c r="AH145">
        <f t="shared" si="106"/>
        <v>158</v>
      </c>
      <c r="AI145">
        <f t="shared" si="79"/>
        <v>0.45204330922718622</v>
      </c>
      <c r="AJ145">
        <f t="shared" si="80"/>
        <v>2.6771181070735037E-2</v>
      </c>
      <c r="AK145">
        <f t="shared" si="81"/>
        <v>296.1130109026841</v>
      </c>
      <c r="AL145">
        <f t="shared" si="82"/>
        <v>238.52848101265823</v>
      </c>
      <c r="AM145">
        <f t="shared" si="83"/>
        <v>-9.0983557226240865</v>
      </c>
      <c r="AN145">
        <f t="shared" si="84"/>
        <v>-1787.8268994956329</v>
      </c>
      <c r="AO145">
        <f t="shared" si="107"/>
        <v>200</v>
      </c>
      <c r="AP145">
        <f t="shared" si="85"/>
        <v>12.762987365345166</v>
      </c>
      <c r="AQ145">
        <f t="shared" si="86"/>
        <v>17.427703944537029</v>
      </c>
      <c r="AR145">
        <f t="shared" si="87"/>
        <v>45.263665815335038</v>
      </c>
    </row>
    <row r="146" spans="1:44">
      <c r="A146" s="8" t="s">
        <v>19</v>
      </c>
      <c r="B146" t="s">
        <v>51</v>
      </c>
      <c r="D146" s="11"/>
      <c r="H146">
        <f t="shared" si="108"/>
        <v>148</v>
      </c>
      <c r="I146">
        <f t="shared" si="88"/>
        <v>0.30911639439958394</v>
      </c>
      <c r="J146">
        <f t="shared" si="89"/>
        <v>2.1569104051809274E-2</v>
      </c>
      <c r="K146">
        <f t="shared" si="90"/>
        <v>209.3299266158719</v>
      </c>
      <c r="L146">
        <f t="shared" si="91"/>
        <v>254.64527027027026</v>
      </c>
      <c r="M146">
        <f t="shared" si="92"/>
        <v>6.7066708608509575</v>
      </c>
      <c r="N146">
        <f t="shared" si="93"/>
        <v>1317.8608241572131</v>
      </c>
      <c r="O146">
        <f t="shared" si="109"/>
        <v>600</v>
      </c>
      <c r="P146">
        <f t="shared" si="94"/>
        <v>3.8533900835787991</v>
      </c>
      <c r="Q146">
        <f t="shared" si="95"/>
        <v>10.741746966690663</v>
      </c>
      <c r="R146">
        <f t="shared" si="96"/>
        <v>14.132958946560308</v>
      </c>
      <c r="T146">
        <f t="shared" si="110"/>
        <v>146</v>
      </c>
      <c r="U146">
        <f t="shared" si="97"/>
        <v>0.42352445755479368</v>
      </c>
      <c r="V146">
        <f t="shared" si="98"/>
        <v>2.5577168855962232E-2</v>
      </c>
      <c r="W146">
        <f t="shared" si="99"/>
        <v>241.56497599813986</v>
      </c>
      <c r="X146">
        <f t="shared" si="100"/>
        <v>258.13356164383561</v>
      </c>
      <c r="Y146">
        <f t="shared" si="101"/>
        <v>2.4190135042715792</v>
      </c>
      <c r="Z146">
        <f t="shared" si="102"/>
        <v>475.33615358936532</v>
      </c>
      <c r="AA146">
        <f t="shared" si="111"/>
        <v>400</v>
      </c>
      <c r="AB146">
        <f t="shared" si="103"/>
        <v>5.5234887094154264</v>
      </c>
      <c r="AC146">
        <f t="shared" si="104"/>
        <v>14.910232429093103</v>
      </c>
      <c r="AD146">
        <f t="shared" si="105"/>
        <v>20.912959522275049</v>
      </c>
      <c r="AH146">
        <f t="shared" si="106"/>
        <v>160</v>
      </c>
      <c r="AI146">
        <f t="shared" si="79"/>
        <v>0.4408128582635733</v>
      </c>
      <c r="AJ146">
        <f t="shared" si="80"/>
        <v>2.6291706400654209E-2</v>
      </c>
      <c r="AK146">
        <f t="shared" si="81"/>
        <v>298.21846059823554</v>
      </c>
      <c r="AL146">
        <f t="shared" si="82"/>
        <v>235.546875</v>
      </c>
      <c r="AM146">
        <f t="shared" si="83"/>
        <v>-10.027453695717686</v>
      </c>
      <c r="AN146">
        <f t="shared" si="84"/>
        <v>-1970.3946512085251</v>
      </c>
      <c r="AO146">
        <f t="shared" si="107"/>
        <v>200</v>
      </c>
      <c r="AP146">
        <f t="shared" si="85"/>
        <v>13.086174501452314</v>
      </c>
      <c r="AQ146">
        <f t="shared" si="86"/>
        <v>17.209857645230315</v>
      </c>
      <c r="AR146">
        <f t="shared" si="87"/>
        <v>45.836623610465857</v>
      </c>
    </row>
    <row r="147" spans="1:44">
      <c r="A147" s="8">
        <f t="shared" ref="A147:A156" si="117">A133</f>
        <v>72</v>
      </c>
      <c r="B147">
        <f t="shared" ref="B147:B156" si="118">B121</f>
        <v>15</v>
      </c>
      <c r="D147" s="11"/>
      <c r="H147">
        <f t="shared" si="108"/>
        <v>150</v>
      </c>
      <c r="I147">
        <f t="shared" si="88"/>
        <v>0.30092824457459938</v>
      </c>
      <c r="J147">
        <f t="shared" si="89"/>
        <v>2.1330249035898842E-2</v>
      </c>
      <c r="K147">
        <f t="shared" si="90"/>
        <v>212.64453656769786</v>
      </c>
      <c r="L147">
        <f t="shared" si="91"/>
        <v>251.25</v>
      </c>
      <c r="M147">
        <f t="shared" si="92"/>
        <v>5.7908195148453219</v>
      </c>
      <c r="N147">
        <f t="shared" si="93"/>
        <v>1137.8960346671058</v>
      </c>
      <c r="O147">
        <f t="shared" si="109"/>
        <v>600</v>
      </c>
      <c r="P147">
        <f t="shared" si="94"/>
        <v>3.951265605233341</v>
      </c>
      <c r="Q147">
        <f t="shared" si="95"/>
        <v>10.598523673801456</v>
      </c>
      <c r="R147">
        <f t="shared" si="96"/>
        <v>14.323944878270584</v>
      </c>
      <c r="T147">
        <f t="shared" si="110"/>
        <v>148</v>
      </c>
      <c r="U147">
        <f t="shared" si="97"/>
        <v>0.41215519253277855</v>
      </c>
      <c r="V147">
        <f t="shared" si="98"/>
        <v>2.512285164766093E-2</v>
      </c>
      <c r="W147">
        <f t="shared" si="99"/>
        <v>243.81933895604547</v>
      </c>
      <c r="X147">
        <f t="shared" si="100"/>
        <v>254.64527027027026</v>
      </c>
      <c r="Y147">
        <f t="shared" si="101"/>
        <v>1.6022378345052688</v>
      </c>
      <c r="Z147">
        <f t="shared" si="102"/>
        <v>314.8397344802853</v>
      </c>
      <c r="AA147">
        <f t="shared" si="111"/>
        <v>400</v>
      </c>
      <c r="AB147">
        <f t="shared" si="103"/>
        <v>5.6709244446124218</v>
      </c>
      <c r="AC147">
        <f t="shared" si="104"/>
        <v>14.708742801672926</v>
      </c>
      <c r="AD147">
        <f t="shared" si="105"/>
        <v>21.199438419840458</v>
      </c>
      <c r="AH147">
        <f t="shared" si="106"/>
        <v>162</v>
      </c>
      <c r="AI147">
        <f t="shared" si="79"/>
        <v>0.42999577699845593</v>
      </c>
      <c r="AJ147">
        <f t="shared" si="80"/>
        <v>2.584128419841308E-2</v>
      </c>
      <c r="AK147">
        <f t="shared" si="81"/>
        <v>300.48299984241328</v>
      </c>
      <c r="AL147">
        <f t="shared" si="82"/>
        <v>232.63888888888889</v>
      </c>
      <c r="AM147">
        <f t="shared" si="83"/>
        <v>-10.990745974470952</v>
      </c>
      <c r="AN147">
        <f t="shared" si="84"/>
        <v>-2159.6815839835422</v>
      </c>
      <c r="AO147">
        <f t="shared" si="107"/>
        <v>200</v>
      </c>
      <c r="AP147">
        <f t="shared" si="85"/>
        <v>13.413474677376835</v>
      </c>
      <c r="AQ147">
        <f t="shared" si="86"/>
        <v>16.99739026689414</v>
      </c>
      <c r="AR147">
        <f t="shared" si="87"/>
        <v>46.40958140559669</v>
      </c>
    </row>
    <row r="148" spans="1:44">
      <c r="A148" s="8">
        <f t="shared" si="117"/>
        <v>81</v>
      </c>
      <c r="B148">
        <f t="shared" si="118"/>
        <v>14.57</v>
      </c>
      <c r="D148" s="11"/>
      <c r="H148">
        <f t="shared" si="108"/>
        <v>152</v>
      </c>
      <c r="I148">
        <f t="shared" si="88"/>
        <v>0.29306118000902387</v>
      </c>
      <c r="J148">
        <f t="shared" si="89"/>
        <v>2.1106800045101577E-2</v>
      </c>
      <c r="K148">
        <f t="shared" si="90"/>
        <v>216.0654650109407</v>
      </c>
      <c r="L148">
        <f t="shared" si="91"/>
        <v>247.94407894736841</v>
      </c>
      <c r="M148">
        <f t="shared" si="92"/>
        <v>4.8455493183370129</v>
      </c>
      <c r="N148">
        <f t="shared" si="93"/>
        <v>952.15044105322306</v>
      </c>
      <c r="O148">
        <f t="shared" si="109"/>
        <v>600</v>
      </c>
      <c r="P148">
        <f t="shared" si="94"/>
        <v>4.0506245057663444</v>
      </c>
      <c r="Q148">
        <f t="shared" si="95"/>
        <v>10.459069414935646</v>
      </c>
      <c r="R148">
        <f t="shared" si="96"/>
        <v>14.514930809980861</v>
      </c>
      <c r="T148">
        <f t="shared" si="110"/>
        <v>150</v>
      </c>
      <c r="U148">
        <f t="shared" si="97"/>
        <v>0.40123765943279921</v>
      </c>
      <c r="V148">
        <f t="shared" si="98"/>
        <v>2.4698220508264604E-2</v>
      </c>
      <c r="W148">
        <f t="shared" si="99"/>
        <v>246.2203626965495</v>
      </c>
      <c r="X148">
        <f t="shared" si="100"/>
        <v>251.25</v>
      </c>
      <c r="Y148">
        <f t="shared" si="101"/>
        <v>0.75444559551757495</v>
      </c>
      <c r="Z148">
        <f t="shared" si="102"/>
        <v>148.24855951920347</v>
      </c>
      <c r="AA148">
        <f t="shared" si="111"/>
        <v>400</v>
      </c>
      <c r="AB148">
        <f t="shared" si="103"/>
        <v>5.8204917951127637</v>
      </c>
      <c r="AC148">
        <f t="shared" si="104"/>
        <v>14.512626230983955</v>
      </c>
      <c r="AD148">
        <f t="shared" si="105"/>
        <v>21.485917317405875</v>
      </c>
      <c r="AH148">
        <f t="shared" si="106"/>
        <v>164</v>
      </c>
      <c r="AI148">
        <f t="shared" si="79"/>
        <v>0.41957202452213999</v>
      </c>
      <c r="AJ148">
        <f t="shared" si="80"/>
        <v>2.5417827404962692E-2</v>
      </c>
      <c r="AK148">
        <f t="shared" si="81"/>
        <v>302.90183710307696</v>
      </c>
      <c r="AL148">
        <f t="shared" si="82"/>
        <v>229.80182926829269</v>
      </c>
      <c r="AM148">
        <f t="shared" si="83"/>
        <v>-11.988401284904619</v>
      </c>
      <c r="AN148">
        <f t="shared" si="84"/>
        <v>-2355.7208524837574</v>
      </c>
      <c r="AO148">
        <f t="shared" si="107"/>
        <v>200</v>
      </c>
      <c r="AP148">
        <f t="shared" si="85"/>
        <v>13.744886185526212</v>
      </c>
      <c r="AQ148">
        <f t="shared" si="86"/>
        <v>16.790105019736895</v>
      </c>
      <c r="AR148">
        <f t="shared" si="87"/>
        <v>46.982539200727523</v>
      </c>
    </row>
    <row r="149" spans="1:44">
      <c r="A149" s="8">
        <f t="shared" si="117"/>
        <v>90</v>
      </c>
      <c r="B149">
        <f t="shared" si="118"/>
        <v>13.15</v>
      </c>
      <c r="D149" s="11"/>
      <c r="H149">
        <f t="shared" si="108"/>
        <v>154</v>
      </c>
      <c r="I149">
        <f t="shared" si="88"/>
        <v>0.28549862974061757</v>
      </c>
      <c r="J149">
        <f t="shared" si="89"/>
        <v>2.0897579896472875E-2</v>
      </c>
      <c r="K149">
        <f t="shared" si="90"/>
        <v>219.59033479907239</v>
      </c>
      <c r="L149">
        <f t="shared" si="91"/>
        <v>244.72402597402598</v>
      </c>
      <c r="M149">
        <f t="shared" si="92"/>
        <v>3.8705884409428517</v>
      </c>
      <c r="N149">
        <f t="shared" si="93"/>
        <v>760.5706286452704</v>
      </c>
      <c r="O149">
        <f t="shared" si="109"/>
        <v>600</v>
      </c>
      <c r="P149">
        <f t="shared" si="94"/>
        <v>4.1514610654414259</v>
      </c>
      <c r="Q149">
        <f t="shared" si="95"/>
        <v>10.323237344611806</v>
      </c>
      <c r="R149">
        <f t="shared" si="96"/>
        <v>14.705916741691135</v>
      </c>
      <c r="T149">
        <f t="shared" si="110"/>
        <v>152</v>
      </c>
      <c r="U149">
        <f t="shared" si="97"/>
        <v>0.39074824001203179</v>
      </c>
      <c r="V149">
        <f t="shared" si="98"/>
        <v>2.4300977857958359E-2</v>
      </c>
      <c r="W149">
        <f t="shared" si="99"/>
        <v>248.76352975726869</v>
      </c>
      <c r="X149">
        <f t="shared" si="100"/>
        <v>247.94407894736841</v>
      </c>
      <c r="Y149">
        <f t="shared" si="101"/>
        <v>-0.12455652310484175</v>
      </c>
      <c r="Z149">
        <f t="shared" si="102"/>
        <v>-24.475356790101404</v>
      </c>
      <c r="AA149">
        <f t="shared" si="111"/>
        <v>400</v>
      </c>
      <c r="AB149">
        <f t="shared" si="103"/>
        <v>5.9721861571043133</v>
      </c>
      <c r="AC149">
        <f t="shared" si="104"/>
        <v>14.321670622681534</v>
      </c>
      <c r="AD149">
        <f t="shared" si="105"/>
        <v>21.772396214971288</v>
      </c>
      <c r="AH149">
        <f t="shared" si="106"/>
        <v>166</v>
      </c>
      <c r="AI149">
        <f t="shared" si="79"/>
        <v>0.40952275989067632</v>
      </c>
      <c r="AJ149">
        <f t="shared" si="80"/>
        <v>2.5019421803202782E-2</v>
      </c>
      <c r="AK149">
        <f t="shared" si="81"/>
        <v>305.47046774496505</v>
      </c>
      <c r="AL149">
        <f t="shared" si="82"/>
        <v>227.03313253012047</v>
      </c>
      <c r="AM149">
        <f t="shared" si="83"/>
        <v>-13.0205976456642</v>
      </c>
      <c r="AN149">
        <f t="shared" si="84"/>
        <v>-2558.5474373730153</v>
      </c>
      <c r="AO149">
        <f t="shared" si="107"/>
        <v>200</v>
      </c>
      <c r="AP149">
        <f t="shared" si="85"/>
        <v>14.080407419000634</v>
      </c>
      <c r="AQ149">
        <f t="shared" si="86"/>
        <v>16.587814597812351</v>
      </c>
      <c r="AR149">
        <f t="shared" si="87"/>
        <v>47.55549699585832</v>
      </c>
    </row>
    <row r="150" spans="1:44">
      <c r="A150" s="8">
        <f t="shared" si="117"/>
        <v>99</v>
      </c>
      <c r="B150">
        <f t="shared" si="118"/>
        <v>12</v>
      </c>
      <c r="D150" s="11"/>
      <c r="H150">
        <f t="shared" si="108"/>
        <v>156</v>
      </c>
      <c r="I150">
        <f t="shared" si="88"/>
        <v>0.2782250781939713</v>
      </c>
      <c r="J150">
        <f t="shared" si="89"/>
        <v>2.0701515024088759E-2</v>
      </c>
      <c r="K150">
        <f t="shared" si="90"/>
        <v>223.21692018348037</v>
      </c>
      <c r="L150">
        <f t="shared" si="91"/>
        <v>241.58653846153845</v>
      </c>
      <c r="M150">
        <f t="shared" si="92"/>
        <v>2.8656604513770612</v>
      </c>
      <c r="N150">
        <f t="shared" si="93"/>
        <v>563.10227869559253</v>
      </c>
      <c r="O150">
        <f t="shared" si="109"/>
        <v>600</v>
      </c>
      <c r="P150">
        <f t="shared" si="94"/>
        <v>4.2537698658065111</v>
      </c>
      <c r="Q150">
        <f t="shared" si="95"/>
        <v>10.190888147886014</v>
      </c>
      <c r="R150">
        <f t="shared" si="96"/>
        <v>14.89690267340141</v>
      </c>
      <c r="T150">
        <f t="shared" si="110"/>
        <v>154</v>
      </c>
      <c r="U150">
        <f t="shared" si="97"/>
        <v>0.38066483965415676</v>
      </c>
      <c r="V150">
        <f t="shared" si="98"/>
        <v>2.3929030927062889E-2</v>
      </c>
      <c r="W150">
        <f t="shared" si="99"/>
        <v>251.44461409993099</v>
      </c>
      <c r="X150">
        <f t="shared" si="100"/>
        <v>244.72402597402598</v>
      </c>
      <c r="Y150">
        <f t="shared" si="101"/>
        <v>-1.0349705713893715</v>
      </c>
      <c r="Z150">
        <f t="shared" si="102"/>
        <v>-203.37171727801152</v>
      </c>
      <c r="AA150">
        <f t="shared" si="111"/>
        <v>400</v>
      </c>
      <c r="AB150">
        <f t="shared" si="103"/>
        <v>6.1260031994948489</v>
      </c>
      <c r="AC150">
        <f t="shared" si="104"/>
        <v>14.135674900309045</v>
      </c>
      <c r="AD150">
        <f t="shared" si="105"/>
        <v>22.058875112536697</v>
      </c>
      <c r="AH150">
        <f t="shared" si="106"/>
        <v>168</v>
      </c>
      <c r="AI150">
        <f t="shared" si="79"/>
        <v>0.39983025692841118</v>
      </c>
      <c r="AJ150">
        <f t="shared" si="80"/>
        <v>2.464430985085779E-2</v>
      </c>
      <c r="AK150">
        <f t="shared" si="81"/>
        <v>308.18465366004432</v>
      </c>
      <c r="AL150">
        <f t="shared" si="82"/>
        <v>224.33035714285714</v>
      </c>
      <c r="AM150">
        <f t="shared" si="83"/>
        <v>-14.087521814887447</v>
      </c>
      <c r="AN150">
        <f t="shared" si="84"/>
        <v>-2768.1980366253833</v>
      </c>
      <c r="AO150">
        <f t="shared" si="107"/>
        <v>200</v>
      </c>
      <c r="AP150">
        <f t="shared" si="85"/>
        <v>14.420036864602681</v>
      </c>
      <c r="AQ150">
        <f t="shared" si="86"/>
        <v>16.39034061450506</v>
      </c>
      <c r="AR150">
        <f t="shared" si="87"/>
        <v>48.128454790989153</v>
      </c>
    </row>
    <row r="151" spans="1:44">
      <c r="A151" s="8">
        <f t="shared" si="117"/>
        <v>108</v>
      </c>
      <c r="B151">
        <f t="shared" si="118"/>
        <v>11.4</v>
      </c>
      <c r="D151" s="11"/>
      <c r="H151">
        <f t="shared" si="108"/>
        <v>158</v>
      </c>
      <c r="I151">
        <f t="shared" si="88"/>
        <v>0.27122598553631172</v>
      </c>
      <c r="J151">
        <f t="shared" si="89"/>
        <v>2.0517625185464614E-2</v>
      </c>
      <c r="K151">
        <f t="shared" si="90"/>
        <v>226.94313538830571</v>
      </c>
      <c r="L151">
        <f t="shared" si="91"/>
        <v>238.52848101265823</v>
      </c>
      <c r="M151">
        <f t="shared" si="92"/>
        <v>1.8304846086476994</v>
      </c>
      <c r="N151">
        <f t="shared" si="93"/>
        <v>359.69022559927294</v>
      </c>
      <c r="O151">
        <f t="shared" si="109"/>
        <v>600</v>
      </c>
      <c r="P151">
        <f t="shared" si="94"/>
        <v>4.3575457731765628</v>
      </c>
      <c r="Q151">
        <f t="shared" si="95"/>
        <v>10.061889563735559</v>
      </c>
      <c r="R151">
        <f t="shared" si="96"/>
        <v>15.087888605111681</v>
      </c>
      <c r="T151">
        <f t="shared" si="110"/>
        <v>156</v>
      </c>
      <c r="U151">
        <f t="shared" si="97"/>
        <v>0.37096677092529512</v>
      </c>
      <c r="V151">
        <f t="shared" si="98"/>
        <v>2.3580471153935571E-2</v>
      </c>
      <c r="W151">
        <f t="shared" si="99"/>
        <v>254.25965883811392</v>
      </c>
      <c r="X151">
        <f t="shared" si="100"/>
        <v>241.58653846153845</v>
      </c>
      <c r="Y151">
        <f t="shared" si="101"/>
        <v>-1.977006778745773</v>
      </c>
      <c r="Z151">
        <f t="shared" si="102"/>
        <v>-388.48183202354437</v>
      </c>
      <c r="AA151">
        <f t="shared" si="111"/>
        <v>400</v>
      </c>
      <c r="AB151">
        <f t="shared" si="103"/>
        <v>6.2819388456349969</v>
      </c>
      <c r="AC151">
        <f t="shared" si="104"/>
        <v>13.954448299023033</v>
      </c>
      <c r="AD151">
        <f t="shared" si="105"/>
        <v>22.34535401010211</v>
      </c>
      <c r="AH151">
        <f t="shared" si="106"/>
        <v>170</v>
      </c>
      <c r="AI151">
        <f t="shared" si="79"/>
        <v>0.390477826005103</v>
      </c>
      <c r="AJ151">
        <f t="shared" si="80"/>
        <v>2.4290876194888403E-2</v>
      </c>
      <c r="AK151">
        <f t="shared" si="81"/>
        <v>311.04040456539207</v>
      </c>
      <c r="AL151">
        <f t="shared" si="82"/>
        <v>221.69117647058823</v>
      </c>
      <c r="AM151">
        <f t="shared" si="83"/>
        <v>-15.189368776116652</v>
      </c>
      <c r="AN151">
        <f t="shared" si="84"/>
        <v>-2984.7109645069222</v>
      </c>
      <c r="AO151">
        <f t="shared" si="107"/>
        <v>200</v>
      </c>
      <c r="AP151">
        <f t="shared" si="85"/>
        <v>14.763773096401401</v>
      </c>
      <c r="AQ151">
        <f t="shared" si="86"/>
        <v>16.197513077863825</v>
      </c>
      <c r="AR151">
        <f t="shared" si="87"/>
        <v>48.701412586119979</v>
      </c>
    </row>
    <row r="152" spans="1:44">
      <c r="A152" s="8">
        <f t="shared" si="117"/>
        <v>117</v>
      </c>
      <c r="B152">
        <f t="shared" si="118"/>
        <v>9</v>
      </c>
      <c r="D152" s="11"/>
      <c r="H152">
        <f t="shared" si="108"/>
        <v>160</v>
      </c>
      <c r="I152">
        <f t="shared" si="88"/>
        <v>0.26448771495814399</v>
      </c>
      <c r="J152">
        <f t="shared" si="89"/>
        <v>2.0345014304235517E-2</v>
      </c>
      <c r="K152">
        <f t="shared" si="90"/>
        <v>230.76702417866755</v>
      </c>
      <c r="L152">
        <f t="shared" si="91"/>
        <v>235.546875</v>
      </c>
      <c r="M152">
        <f t="shared" si="92"/>
        <v>0.76477613141319123</v>
      </c>
      <c r="N152">
        <f t="shared" si="93"/>
        <v>150.27850982269209</v>
      </c>
      <c r="O152">
        <f t="shared" si="109"/>
        <v>600</v>
      </c>
      <c r="P152">
        <f t="shared" si="94"/>
        <v>4.4627839229001038</v>
      </c>
      <c r="Q152">
        <f t="shared" si="95"/>
        <v>9.9361159441888631</v>
      </c>
      <c r="R152">
        <f t="shared" si="96"/>
        <v>15.278874536821954</v>
      </c>
      <c r="T152">
        <f t="shared" si="110"/>
        <v>158</v>
      </c>
      <c r="U152">
        <f t="shared" si="97"/>
        <v>0.361634647381749</v>
      </c>
      <c r="V152">
        <f t="shared" si="98"/>
        <v>2.3253555885270425E-2</v>
      </c>
      <c r="W152">
        <f t="shared" si="99"/>
        <v>257.20495592584626</v>
      </c>
      <c r="X152">
        <f t="shared" si="100"/>
        <v>238.52848101265823</v>
      </c>
      <c r="Y152">
        <f t="shared" si="101"/>
        <v>-2.9508830362837091</v>
      </c>
      <c r="Z152">
        <f t="shared" si="102"/>
        <v>-579.84851662974881</v>
      </c>
      <c r="AA152">
        <f t="shared" si="111"/>
        <v>400</v>
      </c>
      <c r="AB152">
        <f t="shared" si="103"/>
        <v>6.4399892563567276</v>
      </c>
      <c r="AC152">
        <f t="shared" si="104"/>
        <v>13.777809712959449</v>
      </c>
      <c r="AD152">
        <f t="shared" si="105"/>
        <v>22.631832907667516</v>
      </c>
      <c r="AH152">
        <f t="shared" si="106"/>
        <v>172</v>
      </c>
      <c r="AI152">
        <f t="shared" si="79"/>
        <v>0.381449742142627</v>
      </c>
      <c r="AJ152">
        <f t="shared" si="80"/>
        <v>2.3957634675336407E-2</v>
      </c>
      <c r="AK152">
        <f t="shared" si="81"/>
        <v>314.03396081440343</v>
      </c>
      <c r="AL152">
        <f t="shared" si="82"/>
        <v>219.11337209302326</v>
      </c>
      <c r="AM152">
        <f t="shared" si="83"/>
        <v>-16.326341260077388</v>
      </c>
      <c r="AN152">
        <f t="shared" si="84"/>
        <v>-3208.1260576052068</v>
      </c>
      <c r="AO152">
        <f t="shared" si="107"/>
        <v>200</v>
      </c>
      <c r="AP152">
        <f t="shared" si="85"/>
        <v>15.111614769801756</v>
      </c>
      <c r="AQ152">
        <f t="shared" si="86"/>
        <v>16.009169902539831</v>
      </c>
      <c r="AR152">
        <f t="shared" si="87"/>
        <v>49.274370381250804</v>
      </c>
    </row>
    <row r="153" spans="1:44">
      <c r="A153" s="8">
        <f t="shared" si="117"/>
        <v>126</v>
      </c>
      <c r="B153">
        <f t="shared" si="118"/>
        <v>7</v>
      </c>
      <c r="D153" s="11"/>
      <c r="H153">
        <f t="shared" si="108"/>
        <v>162</v>
      </c>
      <c r="I153">
        <f t="shared" si="88"/>
        <v>0.25799746619907354</v>
      </c>
      <c r="J153">
        <f t="shared" si="89"/>
        <v>2.0182862311428709E-2</v>
      </c>
      <c r="K153">
        <f t="shared" si="90"/>
        <v>234.68675032477336</v>
      </c>
      <c r="L153">
        <f t="shared" si="91"/>
        <v>232.63888888888889</v>
      </c>
      <c r="M153">
        <f t="shared" si="92"/>
        <v>-0.33175355261328426</v>
      </c>
      <c r="N153">
        <f t="shared" si="93"/>
        <v>-65.189573088510357</v>
      </c>
      <c r="O153">
        <f t="shared" si="109"/>
        <v>600</v>
      </c>
      <c r="P153">
        <f t="shared" si="94"/>
        <v>4.5694797044038662</v>
      </c>
      <c r="Q153">
        <f t="shared" si="95"/>
        <v>9.8134478461124584</v>
      </c>
      <c r="R153">
        <f t="shared" si="96"/>
        <v>15.469860468532231</v>
      </c>
      <c r="T153">
        <f t="shared" si="110"/>
        <v>160</v>
      </c>
      <c r="U153">
        <f t="shared" si="97"/>
        <v>0.35265028661085862</v>
      </c>
      <c r="V153">
        <f t="shared" si="98"/>
        <v>2.2946692096418694E-2</v>
      </c>
      <c r="W153">
        <f t="shared" si="99"/>
        <v>260.27702761222855</v>
      </c>
      <c r="X153">
        <f t="shared" si="100"/>
        <v>235.546875</v>
      </c>
      <c r="Y153">
        <f t="shared" si="101"/>
        <v>-3.9568244179565681</v>
      </c>
      <c r="Z153">
        <f t="shared" si="102"/>
        <v>-777.51599812846564</v>
      </c>
      <c r="AA153">
        <f t="shared" si="111"/>
        <v>400</v>
      </c>
      <c r="AB153">
        <f t="shared" si="103"/>
        <v>6.6001508142325944</v>
      </c>
      <c r="AC153">
        <f t="shared" si="104"/>
        <v>13.605587091547456</v>
      </c>
      <c r="AD153">
        <f t="shared" si="105"/>
        <v>22.918311805232928</v>
      </c>
      <c r="AH153">
        <f t="shared" si="106"/>
        <v>174</v>
      </c>
      <c r="AI153">
        <f t="shared" si="79"/>
        <v>0.37273117887262114</v>
      </c>
      <c r="AJ153">
        <f t="shared" si="80"/>
        <v>2.3643216650367883E-2</v>
      </c>
      <c r="AK153">
        <f t="shared" si="81"/>
        <v>317.16177758297789</v>
      </c>
      <c r="AL153">
        <f t="shared" si="82"/>
        <v>216.59482758620689</v>
      </c>
      <c r="AM153">
        <f t="shared" si="83"/>
        <v>-17.498649299438156</v>
      </c>
      <c r="AN153">
        <f t="shared" si="84"/>
        <v>-3438.4845873395975</v>
      </c>
      <c r="AO153">
        <f t="shared" si="107"/>
        <v>200</v>
      </c>
      <c r="AP153">
        <f t="shared" si="85"/>
        <v>15.463560616075016</v>
      </c>
      <c r="AQ153">
        <f t="shared" si="86"/>
        <v>15.825156455384201</v>
      </c>
      <c r="AR153">
        <f t="shared" si="87"/>
        <v>49.84732817638163</v>
      </c>
    </row>
    <row r="154" spans="1:44">
      <c r="A154" s="8">
        <f t="shared" si="117"/>
        <v>135</v>
      </c>
      <c r="B154">
        <f t="shared" si="118"/>
        <v>5.5</v>
      </c>
      <c r="D154" s="11"/>
      <c r="H154">
        <f t="shared" si="108"/>
        <v>164</v>
      </c>
      <c r="I154">
        <f t="shared" si="88"/>
        <v>0.25174321471328398</v>
      </c>
      <c r="J154">
        <f t="shared" si="89"/>
        <v>2.0030417865786569E-2</v>
      </c>
      <c r="K154">
        <f t="shared" si="90"/>
        <v>238.70058887505263</v>
      </c>
      <c r="L154">
        <f t="shared" si="91"/>
        <v>229.80182926829269</v>
      </c>
      <c r="M154">
        <f t="shared" si="92"/>
        <v>-1.45939657550863</v>
      </c>
      <c r="N154">
        <f t="shared" si="93"/>
        <v>-286.77142708744577</v>
      </c>
      <c r="O154">
        <f t="shared" si="109"/>
        <v>600</v>
      </c>
      <c r="P154">
        <f t="shared" si="94"/>
        <v>4.6776287470026379</v>
      </c>
      <c r="Q154">
        <f t="shared" si="95"/>
        <v>9.693771652867186</v>
      </c>
      <c r="R154">
        <f t="shared" si="96"/>
        <v>15.660846400242503</v>
      </c>
      <c r="T154">
        <f t="shared" si="110"/>
        <v>162</v>
      </c>
      <c r="U154">
        <f t="shared" si="97"/>
        <v>0.34399662159876471</v>
      </c>
      <c r="V154">
        <f t="shared" si="98"/>
        <v>2.2658421886984369E-2</v>
      </c>
      <c r="W154">
        <f t="shared" si="99"/>
        <v>263.47260948874077</v>
      </c>
      <c r="X154">
        <f t="shared" si="100"/>
        <v>232.63888888888889</v>
      </c>
      <c r="Y154">
        <f t="shared" si="101"/>
        <v>-4.9950627371760055</v>
      </c>
      <c r="Z154">
        <f t="shared" si="102"/>
        <v>-981.52982785508505</v>
      </c>
      <c r="AA154">
        <f t="shared" si="111"/>
        <v>400</v>
      </c>
      <c r="AB154">
        <f t="shared" si="103"/>
        <v>6.7624201089667144</v>
      </c>
      <c r="AC154">
        <f t="shared" si="104"/>
        <v>13.437616880540698</v>
      </c>
      <c r="AD154">
        <f t="shared" si="105"/>
        <v>23.204790702798345</v>
      </c>
      <c r="AH154">
        <f t="shared" si="106"/>
        <v>176</v>
      </c>
      <c r="AI154">
        <f t="shared" si="79"/>
        <v>0.36430814732526723</v>
      </c>
      <c r="AJ154">
        <f t="shared" si="80"/>
        <v>2.3346360494948579E-2</v>
      </c>
      <c r="AK154">
        <f t="shared" si="81"/>
        <v>320.42051030640448</v>
      </c>
      <c r="AL154">
        <f t="shared" si="82"/>
        <v>214.13352272727272</v>
      </c>
      <c r="AM154">
        <f t="shared" si="83"/>
        <v>-18.706509813927191</v>
      </c>
      <c r="AN154">
        <f t="shared" si="84"/>
        <v>-3675.8291784366929</v>
      </c>
      <c r="AO154">
        <f t="shared" si="107"/>
        <v>200</v>
      </c>
      <c r="AP154">
        <f t="shared" si="85"/>
        <v>15.819609437310099</v>
      </c>
      <c r="AQ154">
        <f t="shared" si="86"/>
        <v>15.645325132027562</v>
      </c>
      <c r="AR154">
        <f t="shared" si="87"/>
        <v>50.420285971512456</v>
      </c>
    </row>
    <row r="155" spans="1:44">
      <c r="A155" s="8">
        <f t="shared" si="117"/>
        <v>144</v>
      </c>
      <c r="B155">
        <f t="shared" si="118"/>
        <v>3</v>
      </c>
      <c r="D155" s="11"/>
      <c r="H155">
        <f t="shared" si="108"/>
        <v>166</v>
      </c>
      <c r="I155">
        <f t="shared" si="88"/>
        <v>0.24571365593440581</v>
      </c>
      <c r="J155">
        <f t="shared" si="89"/>
        <v>1.9886991849153001E-2</v>
      </c>
      <c r="K155">
        <f t="shared" si="90"/>
        <v>242.80691816081128</v>
      </c>
      <c r="L155">
        <f t="shared" si="91"/>
        <v>227.03313253012047</v>
      </c>
      <c r="M155">
        <f t="shared" si="92"/>
        <v>-2.6184484146946745</v>
      </c>
      <c r="N155">
        <f t="shared" si="93"/>
        <v>-514.52511348750352</v>
      </c>
      <c r="O155">
        <f t="shared" si="109"/>
        <v>600</v>
      </c>
      <c r="P155">
        <f t="shared" si="94"/>
        <v>4.7872269064557864</v>
      </c>
      <c r="Q155">
        <f t="shared" si="95"/>
        <v>9.5769792233145665</v>
      </c>
      <c r="R155">
        <f t="shared" si="96"/>
        <v>15.851832331952776</v>
      </c>
      <c r="T155">
        <f t="shared" si="110"/>
        <v>164</v>
      </c>
      <c r="U155">
        <f t="shared" si="97"/>
        <v>0.33565761961771201</v>
      </c>
      <c r="V155">
        <f t="shared" si="98"/>
        <v>2.2387409539176124E-2</v>
      </c>
      <c r="W155">
        <f t="shared" si="99"/>
        <v>266.78863497481331</v>
      </c>
      <c r="X155">
        <f t="shared" si="100"/>
        <v>229.80182926829269</v>
      </c>
      <c r="Y155">
        <f t="shared" si="101"/>
        <v>-6.0658361358693798</v>
      </c>
      <c r="Z155">
        <f t="shared" si="102"/>
        <v>-1191.9368006983332</v>
      </c>
      <c r="AA155">
        <f t="shared" si="111"/>
        <v>400</v>
      </c>
      <c r="AB155">
        <f t="shared" si="103"/>
        <v>6.9267939238342668</v>
      </c>
      <c r="AC155">
        <f t="shared" si="104"/>
        <v>13.27374350394874</v>
      </c>
      <c r="AD155">
        <f t="shared" si="105"/>
        <v>23.491269600363754</v>
      </c>
      <c r="AH155">
        <f t="shared" si="106"/>
        <v>178</v>
      </c>
      <c r="AI155">
        <f t="shared" si="79"/>
        <v>0.35616744008166507</v>
      </c>
      <c r="AJ155">
        <f t="shared" si="80"/>
        <v>2.3065902143514387E-2</v>
      </c>
      <c r="AK155">
        <f t="shared" si="81"/>
        <v>323.80700125516302</v>
      </c>
      <c r="AL155">
        <f t="shared" si="82"/>
        <v>211.72752808988764</v>
      </c>
      <c r="AM155">
        <f t="shared" si="83"/>
        <v>-19.950146223419015</v>
      </c>
      <c r="AN155">
        <f t="shared" si="84"/>
        <v>-3920.2037329018362</v>
      </c>
      <c r="AO155">
        <f t="shared" si="107"/>
        <v>200</v>
      </c>
      <c r="AP155">
        <f t="shared" si="85"/>
        <v>16.179760101749576</v>
      </c>
      <c r="AQ155">
        <f t="shared" si="86"/>
        <v>15.469534962004778</v>
      </c>
      <c r="AR155">
        <f t="shared" si="87"/>
        <v>50.993243766643282</v>
      </c>
    </row>
    <row r="156" spans="1:44" ht="15.75" thickBot="1">
      <c r="A156" s="8">
        <f t="shared" si="117"/>
        <v>155</v>
      </c>
      <c r="B156">
        <f t="shared" si="118"/>
        <v>0</v>
      </c>
      <c r="C156" s="25"/>
      <c r="D156" s="20"/>
      <c r="H156">
        <f t="shared" si="108"/>
        <v>168</v>
      </c>
      <c r="I156">
        <f t="shared" si="88"/>
        <v>0.23989815415704671</v>
      </c>
      <c r="J156">
        <f t="shared" si="89"/>
        <v>1.9751951546308804E-2</v>
      </c>
      <c r="K156">
        <f t="shared" si="90"/>
        <v>247.00421246315724</v>
      </c>
      <c r="L156">
        <f t="shared" si="91"/>
        <v>224.33035714285714</v>
      </c>
      <c r="M156">
        <f t="shared" si="92"/>
        <v>-3.8092076938104178</v>
      </c>
      <c r="N156">
        <f t="shared" si="93"/>
        <v>-748.50931183374712</v>
      </c>
      <c r="O156">
        <f t="shared" si="109"/>
        <v>600</v>
      </c>
      <c r="P156">
        <f t="shared" si="94"/>
        <v>4.8982702522477855</v>
      </c>
      <c r="Q156">
        <f t="shared" si="95"/>
        <v>9.4629675658941554</v>
      </c>
      <c r="R156">
        <f t="shared" si="96"/>
        <v>16.042818263663047</v>
      </c>
      <c r="T156">
        <f t="shared" si="110"/>
        <v>166</v>
      </c>
      <c r="U156">
        <f t="shared" si="97"/>
        <v>0.32761820791254109</v>
      </c>
      <c r="V156">
        <f t="shared" si="98"/>
        <v>2.2132429954049782E-2</v>
      </c>
      <c r="W156">
        <f t="shared" si="99"/>
        <v>270.22222110387855</v>
      </c>
      <c r="X156">
        <f t="shared" si="100"/>
        <v>227.03313253012047</v>
      </c>
      <c r="Y156">
        <f t="shared" si="101"/>
        <v>-7.1693887032438424</v>
      </c>
      <c r="Z156">
        <f t="shared" si="102"/>
        <v>-1408.784880187415</v>
      </c>
      <c r="AA156">
        <f t="shared" si="111"/>
        <v>400</v>
      </c>
      <c r="AB156">
        <f t="shared" si="103"/>
        <v>7.0932692230918484</v>
      </c>
      <c r="AC156">
        <f t="shared" si="104"/>
        <v>13.113818883419233</v>
      </c>
      <c r="AD156">
        <f t="shared" si="105"/>
        <v>23.777748497929164</v>
      </c>
      <c r="AH156">
        <f t="shared" si="106"/>
        <v>180</v>
      </c>
      <c r="AI156">
        <f t="shared" ref="AI156:AI166" si="119">(2*$B$3*$B$8*$D$9)/($B$10*$B$9*$B$4*AH156^2)</f>
        <v>0.3482965793687493</v>
      </c>
      <c r="AJ156">
        <f t="shared" ref="AJ156:AJ166" si="120">$B$5+(AI156^2/($B$13*$B$12*PI()))</f>
        <v>2.2800766562578824E-2</v>
      </c>
      <c r="AK156">
        <f t="shared" ref="AK156:AK166" si="121">(0.5/$B$8)*$B$10*$B$9*$B$4*AJ156*AH156^2</f>
        <v>327.31826714897403</v>
      </c>
      <c r="AL156">
        <f t="shared" ref="AL156:AL165" si="122">($B$6*$B$15*75)/(AH156)</f>
        <v>209.375</v>
      </c>
      <c r="AM156">
        <f t="shared" ref="AM156:AM165" si="123">((AL156-AK156)*AH156)/($B$3)</f>
        <v>-21.229788086815326</v>
      </c>
      <c r="AN156">
        <f t="shared" ref="AN156:AN165" si="124">AM156*$B$16</f>
        <v>-4171.6533590592117</v>
      </c>
      <c r="AO156">
        <f t="shared" si="107"/>
        <v>200</v>
      </c>
      <c r="AP156">
        <f t="shared" ref="AP156:AP165" si="125">SQRT((AH156^2/(AO156*$B$8))^2+1)</f>
        <v>16.544011539477523</v>
      </c>
      <c r="AQ156">
        <f t="shared" ref="AQ156:AQ166" si="126">((180*$B$8)/(PI()*AH156))*SQRT($D$9^2-1)</f>
        <v>15.297651240204726</v>
      </c>
      <c r="AR156">
        <f t="shared" ref="AR156:AR165" si="127">((180*$B$8)/(PI()*AH156))*SQRT(AP156^2-1)</f>
        <v>51.566201561774093</v>
      </c>
    </row>
    <row r="157" spans="1:44" ht="15.75" thickBot="1">
      <c r="A157" s="31" t="s">
        <v>52</v>
      </c>
      <c r="B157" s="33"/>
      <c r="C157" s="41"/>
      <c r="D157" s="42"/>
      <c r="H157">
        <f t="shared" si="108"/>
        <v>170</v>
      </c>
      <c r="I157">
        <f t="shared" ref="I157:I167" si="128">(2*$B$3*$B$8*$D$7)/($B$10*$B$9*$B$4*H157^2)</f>
        <v>0.23428669560306181</v>
      </c>
      <c r="J157">
        <f t="shared" ref="J157:J167" si="129">$B$5+(I157^2/($B$13*$B$12*PI()))</f>
        <v>1.9624715430159825E-2</v>
      </c>
      <c r="K157">
        <f t="shared" ref="K157:K167" si="130">(0.5/$B$8)*$B$10*$B$9*$B$4*J157*H157^2</f>
        <v>251.29103528023836</v>
      </c>
      <c r="L157">
        <f t="shared" ref="L157:L167" si="131">($B$6*$B$15*75)/(H157)</f>
        <v>221.69117647058823</v>
      </c>
      <c r="M157">
        <f t="shared" ref="M157:M167" si="132">((L157-K157)*H157)/($B$3)</f>
        <v>-5.0319759976405223</v>
      </c>
      <c r="N157">
        <f t="shared" ref="N157:N167" si="133">M157*$B$16</f>
        <v>-988.78328353636266</v>
      </c>
      <c r="O157">
        <f t="shared" si="109"/>
        <v>600</v>
      </c>
      <c r="P157">
        <f t="shared" ref="P157:P166" si="134">SQRT((H157^2/(O157*$B$8))^2+1)</f>
        <v>5.0107550555671505</v>
      </c>
      <c r="Q157">
        <f t="shared" ref="Q157:Q167" si="135">((180*$B$8)/(PI()*H157))*SQRT($D$7^2-1)</f>
        <v>9.3516385357071652</v>
      </c>
      <c r="R157">
        <f t="shared" ref="R157:R166" si="136">((180*$B$8)/(PI()*H157))*SQRT(P157^2-1)</f>
        <v>16.233804195373327</v>
      </c>
      <c r="T157">
        <f t="shared" si="110"/>
        <v>168</v>
      </c>
      <c r="U157">
        <f t="shared" ref="U157:U167" si="137">(2*$B$3*$B$8*$D$8)/($B$10*$B$9*$B$4*T157^2)</f>
        <v>0.31986420554272893</v>
      </c>
      <c r="V157">
        <f t="shared" ref="V157:V167" si="138">$B$5+(U157^2/($B$13*$B$12*PI()))</f>
        <v>2.1892358304548984E-2</v>
      </c>
      <c r="W157">
        <f t="shared" ref="W157:W167" si="139">(0.5/$B$8)*$B$10*$B$9*$B$4*V157*T157^2</f>
        <v>273.77065548679531</v>
      </c>
      <c r="X157">
        <f t="shared" ref="X157:X166" si="140">($B$6*$B$15*75)/(T157)</f>
        <v>224.33035714285714</v>
      </c>
      <c r="Y157">
        <f t="shared" ref="Y157:Y166" si="141">((X157-W157)*T157)/($B$3)</f>
        <v>-8.3059701217816126</v>
      </c>
      <c r="Z157">
        <f t="shared" ref="Z157:Z166" si="142">Y157*$B$16</f>
        <v>-1632.123128930087</v>
      </c>
      <c r="AA157">
        <f t="shared" si="111"/>
        <v>400</v>
      </c>
      <c r="AB157">
        <f t="shared" ref="AB157:AB166" si="143">SQRT((T157^2/(AA157*$B$8))^2+1)</f>
        <v>7.2618431402864303</v>
      </c>
      <c r="AC157">
        <f t="shared" ref="AC157:AC167" si="144">((180*$B$8)/(PI()*T157))*SQRT($D$8^2-1)</f>
        <v>12.957701991949957</v>
      </c>
      <c r="AD157">
        <f t="shared" ref="AD157:AD166" si="145">((180*$B$8)/(PI()*T157))*SQRT(AB157^2-1)</f>
        <v>24.064227395494576</v>
      </c>
      <c r="AH157">
        <f t="shared" ref="AH157:AH166" si="146">AH156+2</f>
        <v>182</v>
      </c>
      <c r="AI157">
        <f t="shared" si="119"/>
        <v>0.3406837692171078</v>
      </c>
      <c r="AJ157">
        <f t="shared" si="120"/>
        <v>2.2549960052777814E-2</v>
      </c>
      <c r="AK157">
        <f t="shared" si="121"/>
        <v>330.95148771832726</v>
      </c>
      <c r="AL157">
        <f t="shared" si="122"/>
        <v>207.07417582417582</v>
      </c>
      <c r="AM157">
        <f t="shared" si="123"/>
        <v>-22.545670764735561</v>
      </c>
      <c r="AN157">
        <f t="shared" si="124"/>
        <v>-4430.224305270538</v>
      </c>
      <c r="AO157">
        <f t="shared" ref="AO157:AO166" si="147">AO156</f>
        <v>200</v>
      </c>
      <c r="AP157">
        <f t="shared" si="125"/>
        <v>16.91236273842955</v>
      </c>
      <c r="AQ157">
        <f t="shared" si="126"/>
        <v>15.12954518262006</v>
      </c>
      <c r="AR157">
        <f t="shared" si="127"/>
        <v>52.139159356904912</v>
      </c>
    </row>
    <row r="158" spans="1:44">
      <c r="A158" s="8" t="s">
        <v>19</v>
      </c>
      <c r="B158" t="s">
        <v>51</v>
      </c>
      <c r="C158" s="34" t="s">
        <v>53</v>
      </c>
      <c r="D158" s="35"/>
      <c r="H158">
        <f t="shared" ref="H158:H167" si="148">H157+2</f>
        <v>172</v>
      </c>
      <c r="I158">
        <f t="shared" si="128"/>
        <v>0.22886984528557619</v>
      </c>
      <c r="J158">
        <f t="shared" si="129"/>
        <v>1.9504748483121108E-2</v>
      </c>
      <c r="K158">
        <f t="shared" si="130"/>
        <v>255.66603313927698</v>
      </c>
      <c r="L158">
        <f t="shared" si="131"/>
        <v>219.11337209302326</v>
      </c>
      <c r="M158">
        <f t="shared" si="132"/>
        <v>-6.28705769995564</v>
      </c>
      <c r="N158">
        <f t="shared" si="133"/>
        <v>-1235.4068380412832</v>
      </c>
      <c r="O158">
        <f t="shared" ref="O158:O167" si="149">O157</f>
        <v>600</v>
      </c>
      <c r="P158">
        <f t="shared" si="134"/>
        <v>5.1246777779560668</v>
      </c>
      <c r="Q158">
        <f t="shared" si="135"/>
        <v>9.242898552733827</v>
      </c>
      <c r="R158">
        <f t="shared" si="136"/>
        <v>16.424790127083604</v>
      </c>
      <c r="T158">
        <f t="shared" ref="T158:T167" si="150">T157+2</f>
        <v>170</v>
      </c>
      <c r="U158">
        <f t="shared" si="137"/>
        <v>0.31238226080408238</v>
      </c>
      <c r="V158">
        <f t="shared" si="138"/>
        <v>2.1666160764728576E-2</v>
      </c>
      <c r="W158">
        <f t="shared" si="139"/>
        <v>277.43138434249312</v>
      </c>
      <c r="X158">
        <f t="shared" si="140"/>
        <v>221.69117647058823</v>
      </c>
      <c r="Y158">
        <f t="shared" si="141"/>
        <v>-9.4758353382238312</v>
      </c>
      <c r="Z158">
        <f t="shared" si="142"/>
        <v>-1862.0016439609828</v>
      </c>
      <c r="AA158">
        <f t="shared" ref="AA158:AA167" si="151">AA157</f>
        <v>400</v>
      </c>
      <c r="AB158">
        <f t="shared" si="143"/>
        <v>7.4325129673957813</v>
      </c>
      <c r="AC158">
        <f t="shared" si="144"/>
        <v>12.805258439103488</v>
      </c>
      <c r="AD158">
        <f t="shared" si="145"/>
        <v>24.350706293059986</v>
      </c>
      <c r="AH158">
        <f t="shared" si="146"/>
        <v>184</v>
      </c>
      <c r="AI158">
        <f t="shared" si="119"/>
        <v>0.33331785123899688</v>
      </c>
      <c r="AJ158">
        <f t="shared" si="120"/>
        <v>2.2312563291671608E-2</v>
      </c>
      <c r="AK158">
        <f t="shared" si="121"/>
        <v>334.70399513155638</v>
      </c>
      <c r="AL158">
        <f t="shared" si="122"/>
        <v>204.8233695652174</v>
      </c>
      <c r="AM158">
        <f t="shared" si="123"/>
        <v>-23.898035104206372</v>
      </c>
      <c r="AN158">
        <f t="shared" si="124"/>
        <v>-4695.9638979765523</v>
      </c>
      <c r="AO158">
        <f t="shared" si="147"/>
        <v>200</v>
      </c>
      <c r="AP158">
        <f t="shared" si="125"/>
        <v>17.28481274069792</v>
      </c>
      <c r="AQ158">
        <f t="shared" si="126"/>
        <v>14.965093604548104</v>
      </c>
      <c r="AR158">
        <f t="shared" si="127"/>
        <v>52.712117152035745</v>
      </c>
    </row>
    <row r="159" spans="1:44">
      <c r="A159" s="8">
        <v>47</v>
      </c>
      <c r="B159">
        <f>$D$159*A133^2+$D$160*A133+$D$161</f>
        <v>14.701599999999999</v>
      </c>
      <c r="C159" s="8" t="s">
        <v>54</v>
      </c>
      <c r="D159" s="11">
        <f>-0.003</f>
        <v>-3.0000000000000001E-3</v>
      </c>
      <c r="H159">
        <f t="shared" si="148"/>
        <v>174</v>
      </c>
      <c r="I159">
        <f t="shared" si="128"/>
        <v>0.22363870732357269</v>
      </c>
      <c r="J159">
        <f t="shared" si="129"/>
        <v>1.939155799413244E-2</v>
      </c>
      <c r="K159">
        <f t="shared" si="130"/>
        <v>260.12792990359679</v>
      </c>
      <c r="L159">
        <f t="shared" si="131"/>
        <v>216.59482758620689</v>
      </c>
      <c r="M159">
        <f t="shared" si="132"/>
        <v>-7.5747598032258425</v>
      </c>
      <c r="N159">
        <f t="shared" si="133"/>
        <v>-1488.4403013338781</v>
      </c>
      <c r="O159">
        <f t="shared" si="149"/>
        <v>600</v>
      </c>
      <c r="P159">
        <f t="shared" si="134"/>
        <v>5.2400350606018149</v>
      </c>
      <c r="Q159">
        <f t="shared" si="135"/>
        <v>9.1366583394840131</v>
      </c>
      <c r="R159">
        <f t="shared" si="136"/>
        <v>16.615776058793877</v>
      </c>
      <c r="T159">
        <f t="shared" si="150"/>
        <v>172</v>
      </c>
      <c r="U159">
        <f t="shared" si="137"/>
        <v>0.30515979371410157</v>
      </c>
      <c r="V159">
        <f t="shared" si="138"/>
        <v>2.14528861922153E-2</v>
      </c>
      <c r="W159">
        <f t="shared" si="139"/>
        <v>281.20200149714481</v>
      </c>
      <c r="X159">
        <f t="shared" si="140"/>
        <v>219.11337209302326</v>
      </c>
      <c r="Y159">
        <f t="shared" si="141"/>
        <v>-10.679244257508905</v>
      </c>
      <c r="Z159">
        <f t="shared" si="142"/>
        <v>-2098.4714966004999</v>
      </c>
      <c r="AA159">
        <f t="shared" si="151"/>
        <v>400</v>
      </c>
      <c r="AB159">
        <f t="shared" si="143"/>
        <v>7.6052761447381148</v>
      </c>
      <c r="AC159">
        <f t="shared" si="144"/>
        <v>12.656360085160426</v>
      </c>
      <c r="AD159">
        <f t="shared" si="145"/>
        <v>24.637185190625402</v>
      </c>
      <c r="AH159">
        <f t="shared" si="146"/>
        <v>186</v>
      </c>
      <c r="AI159">
        <f t="shared" si="119"/>
        <v>0.32618826371683074</v>
      </c>
      <c r="AJ159">
        <f t="shared" si="120"/>
        <v>2.2087725038942099E-2</v>
      </c>
      <c r="AK159">
        <f t="shared" si="121"/>
        <v>338.57326421340537</v>
      </c>
      <c r="AL159">
        <f t="shared" si="122"/>
        <v>202.62096774193549</v>
      </c>
      <c r="AM159">
        <f t="shared" si="123"/>
        <v>-25.287127143693397</v>
      </c>
      <c r="AN159">
        <f t="shared" si="124"/>
        <v>-4968.920483735752</v>
      </c>
      <c r="AO159">
        <f t="shared" si="147"/>
        <v>200</v>
      </c>
      <c r="AP159">
        <f t="shared" si="125"/>
        <v>17.661360639107361</v>
      </c>
      <c r="AQ159">
        <f t="shared" si="126"/>
        <v>14.804178619552962</v>
      </c>
      <c r="AR159">
        <f t="shared" si="127"/>
        <v>53.285074947166578</v>
      </c>
    </row>
    <row r="160" spans="1:44">
      <c r="A160" s="8">
        <f t="shared" ref="A160:A168" si="152">A148*1.01</f>
        <v>81.81</v>
      </c>
      <c r="B160">
        <f t="shared" ref="B160:B167" si="153">$D$159*A134^2+$D$160*A134+$D$161</f>
        <v>15.3523</v>
      </c>
      <c r="C160" s="8" t="s">
        <v>37</v>
      </c>
      <c r="D160" s="11">
        <v>0.53129999999999999</v>
      </c>
      <c r="H160">
        <f t="shared" si="148"/>
        <v>176</v>
      </c>
      <c r="I160">
        <f t="shared" si="128"/>
        <v>0.21858488839516033</v>
      </c>
      <c r="J160">
        <f t="shared" si="129"/>
        <v>1.9284689778181489E-2</v>
      </c>
      <c r="K160">
        <f t="shared" si="130"/>
        <v>264.67552152990191</v>
      </c>
      <c r="L160">
        <f t="shared" si="131"/>
        <v>214.13352272727272</v>
      </c>
      <c r="M160">
        <f t="shared" si="132"/>
        <v>-8.895391789262737</v>
      </c>
      <c r="N160">
        <f t="shared" si="133"/>
        <v>-1747.9444865901278</v>
      </c>
      <c r="O160">
        <f t="shared" si="149"/>
        <v>600</v>
      </c>
      <c r="P160">
        <f t="shared" si="134"/>
        <v>5.3568237142403579</v>
      </c>
      <c r="Q160">
        <f t="shared" si="135"/>
        <v>9.0328326765353317</v>
      </c>
      <c r="R160">
        <f t="shared" si="136"/>
        <v>16.80676199050415</v>
      </c>
      <c r="T160">
        <f t="shared" si="150"/>
        <v>174</v>
      </c>
      <c r="U160">
        <f t="shared" si="137"/>
        <v>0.2981849430980969</v>
      </c>
      <c r="V160">
        <f t="shared" si="138"/>
        <v>2.1251658656235444E-2</v>
      </c>
      <c r="W160">
        <f t="shared" si="139"/>
        <v>285.08023826332601</v>
      </c>
      <c r="X160">
        <f t="shared" si="140"/>
        <v>216.59482758620689</v>
      </c>
      <c r="Y160">
        <f t="shared" si="141"/>
        <v>-11.916461457818727</v>
      </c>
      <c r="Z160">
        <f t="shared" si="142"/>
        <v>-2341.5846764613798</v>
      </c>
      <c r="AA160">
        <f t="shared" si="151"/>
        <v>400</v>
      </c>
      <c r="AB160">
        <f t="shared" si="143"/>
        <v>7.7801302515932589</v>
      </c>
      <c r="AC160">
        <f t="shared" si="144"/>
        <v>12.51088468188272</v>
      </c>
      <c r="AD160">
        <f t="shared" si="145"/>
        <v>24.923664088190815</v>
      </c>
      <c r="AH160">
        <f t="shared" si="146"/>
        <v>188</v>
      </c>
      <c r="AI160">
        <f t="shared" si="119"/>
        <v>0.31928500372191826</v>
      </c>
      <c r="AJ160">
        <f t="shared" si="120"/>
        <v>2.1874656434647019E-2</v>
      </c>
      <c r="AK160">
        <f t="shared" si="121"/>
        <v>342.55690338809001</v>
      </c>
      <c r="AL160">
        <f t="shared" si="122"/>
        <v>200.46542553191489</v>
      </c>
      <c r="AM160">
        <f t="shared" si="123"/>
        <v>-26.713197836960919</v>
      </c>
      <c r="AN160">
        <f t="shared" si="124"/>
        <v>-5249.1433749628204</v>
      </c>
      <c r="AO160">
        <f t="shared" si="147"/>
        <v>200</v>
      </c>
      <c r="AP160">
        <f t="shared" si="125"/>
        <v>18.042005574039322</v>
      </c>
      <c r="AQ160">
        <f t="shared" si="126"/>
        <v>14.646687357642822</v>
      </c>
      <c r="AR160">
        <f t="shared" si="127"/>
        <v>53.858032742297382</v>
      </c>
    </row>
    <row r="161" spans="1:44" ht="15.75" thickBot="1">
      <c r="A161" s="8">
        <f t="shared" si="152"/>
        <v>90.9</v>
      </c>
      <c r="B161">
        <f t="shared" si="153"/>
        <v>15.516999999999999</v>
      </c>
      <c r="C161" s="19" t="s">
        <v>55</v>
      </c>
      <c r="D161" s="20">
        <v>-8</v>
      </c>
      <c r="H161">
        <f t="shared" si="148"/>
        <v>178</v>
      </c>
      <c r="I161">
        <f t="shared" si="128"/>
        <v>0.21370046404899903</v>
      </c>
      <c r="J161">
        <f t="shared" si="129"/>
        <v>1.9183724771665182E-2</v>
      </c>
      <c r="K161">
        <f t="shared" si="130"/>
        <v>269.30767123556518</v>
      </c>
      <c r="L161">
        <f t="shared" si="131"/>
        <v>211.72752808988764</v>
      </c>
      <c r="M161">
        <f t="shared" si="132"/>
        <v>-10.249265479930601</v>
      </c>
      <c r="N161">
        <f t="shared" si="133"/>
        <v>-2013.9806668063632</v>
      </c>
      <c r="O161">
        <f t="shared" si="149"/>
        <v>600</v>
      </c>
      <c r="P161">
        <f t="shared" si="134"/>
        <v>5.4750407096423324</v>
      </c>
      <c r="Q161">
        <f t="shared" si="135"/>
        <v>8.9313401745517869</v>
      </c>
      <c r="R161">
        <f t="shared" si="136"/>
        <v>16.997747922214423</v>
      </c>
      <c r="T161">
        <f t="shared" si="150"/>
        <v>176</v>
      </c>
      <c r="U161">
        <f t="shared" si="137"/>
        <v>0.29144651786021381</v>
      </c>
      <c r="V161">
        <f t="shared" si="138"/>
        <v>2.1061670716767091E-2</v>
      </c>
      <c r="W161">
        <f t="shared" si="139"/>
        <v>289.06395411962177</v>
      </c>
      <c r="X161">
        <f t="shared" si="140"/>
        <v>214.13352272727272</v>
      </c>
      <c r="Y161">
        <f t="shared" si="141"/>
        <v>-13.187755925053432</v>
      </c>
      <c r="Z161">
        <f t="shared" si="142"/>
        <v>-2591.3940392729996</v>
      </c>
      <c r="AA161">
        <f t="shared" si="151"/>
        <v>400</v>
      </c>
      <c r="AB161">
        <f t="shared" si="143"/>
        <v>7.9570729974820322</v>
      </c>
      <c r="AC161">
        <f t="shared" si="144"/>
        <v>12.368715537770417</v>
      </c>
      <c r="AD161">
        <f t="shared" si="145"/>
        <v>25.210142985756228</v>
      </c>
      <c r="AH161">
        <f t="shared" si="146"/>
        <v>190</v>
      </c>
      <c r="AI161">
        <f t="shared" si="119"/>
        <v>0.31259859200962542</v>
      </c>
      <c r="AJ161">
        <f t="shared" si="120"/>
        <v>2.167262582909335E-2</v>
      </c>
      <c r="AK161">
        <f t="shared" si="121"/>
        <v>346.65264628616779</v>
      </c>
      <c r="AL161">
        <f t="shared" si="122"/>
        <v>198.35526315789474</v>
      </c>
      <c r="AM161">
        <f t="shared" si="123"/>
        <v>-28.176502794371881</v>
      </c>
      <c r="AN161">
        <f t="shared" si="124"/>
        <v>-5536.6827990940747</v>
      </c>
      <c r="AO161">
        <f t="shared" si="147"/>
        <v>200</v>
      </c>
      <c r="AP161">
        <f t="shared" si="125"/>
        <v>18.426746730484407</v>
      </c>
      <c r="AQ161">
        <f t="shared" si="126"/>
        <v>14.492511701246581</v>
      </c>
      <c r="AR161">
        <f t="shared" si="127"/>
        <v>54.430990537428201</v>
      </c>
    </row>
    <row r="162" spans="1:44">
      <c r="A162" s="8">
        <f t="shared" si="152"/>
        <v>99.99</v>
      </c>
      <c r="B162">
        <f t="shared" si="153"/>
        <v>15.195699999999999</v>
      </c>
      <c r="D162" s="11"/>
      <c r="H162">
        <f t="shared" si="148"/>
        <v>180</v>
      </c>
      <c r="I162">
        <f t="shared" si="128"/>
        <v>0.20897794762124958</v>
      </c>
      <c r="J162">
        <f t="shared" si="129"/>
        <v>1.9088275962528378E-2</v>
      </c>
      <c r="K162">
        <f t="shared" si="130"/>
        <v>274.02330503968568</v>
      </c>
      <c r="L162">
        <f t="shared" si="131"/>
        <v>209.375</v>
      </c>
      <c r="M162">
        <f t="shared" si="132"/>
        <v>-11.636694907143422</v>
      </c>
      <c r="N162">
        <f t="shared" si="133"/>
        <v>-2286.6105492536826</v>
      </c>
      <c r="O162">
        <f t="shared" si="149"/>
        <v>600</v>
      </c>
      <c r="P162">
        <f t="shared" si="134"/>
        <v>5.5946831686518372</v>
      </c>
      <c r="Q162">
        <f t="shared" si="135"/>
        <v>8.832103061501213</v>
      </c>
      <c r="R162">
        <f t="shared" si="136"/>
        <v>17.188733853924699</v>
      </c>
      <c r="T162">
        <f t="shared" si="150"/>
        <v>178</v>
      </c>
      <c r="U162">
        <f t="shared" si="137"/>
        <v>0.28493395206533206</v>
      </c>
      <c r="V162">
        <f t="shared" si="138"/>
        <v>2.0882177371849209E-2</v>
      </c>
      <c r="W162">
        <f t="shared" si="139"/>
        <v>293.15112811913923</v>
      </c>
      <c r="X162">
        <f t="shared" si="140"/>
        <v>211.72752808988764</v>
      </c>
      <c r="Y162">
        <f t="shared" si="141"/>
        <v>-14.493400805206782</v>
      </c>
      <c r="Z162">
        <f t="shared" si="142"/>
        <v>-2847.9532582231327</v>
      </c>
      <c r="AA162">
        <f t="shared" si="151"/>
        <v>400</v>
      </c>
      <c r="AB162">
        <f t="shared" si="143"/>
        <v>8.136102214054457</v>
      </c>
      <c r="AC162">
        <f t="shared" si="144"/>
        <v>12.229741205885354</v>
      </c>
      <c r="AD162">
        <f t="shared" si="145"/>
        <v>25.496621883321637</v>
      </c>
      <c r="AH162">
        <f t="shared" si="146"/>
        <v>192</v>
      </c>
      <c r="AI162">
        <f t="shared" si="119"/>
        <v>0.30612004046081481</v>
      </c>
      <c r="AJ162">
        <f t="shared" si="120"/>
        <v>2.1480954089821667E-2</v>
      </c>
      <c r="AK162">
        <f t="shared" si="121"/>
        <v>350.85834396019158</v>
      </c>
      <c r="AL162">
        <f t="shared" si="122"/>
        <v>196.2890625</v>
      </c>
      <c r="AM162">
        <f t="shared" si="123"/>
        <v>-29.677302040356782</v>
      </c>
      <c r="AN162">
        <f t="shared" si="124"/>
        <v>-5831.5898509301078</v>
      </c>
      <c r="AO162">
        <f t="shared" si="147"/>
        <v>200</v>
      </c>
      <c r="AP162">
        <f t="shared" si="125"/>
        <v>18.815583335304559</v>
      </c>
      <c r="AQ162">
        <f t="shared" si="126"/>
        <v>14.341548037691931</v>
      </c>
      <c r="AR162">
        <f t="shared" si="127"/>
        <v>55.003948332559041</v>
      </c>
    </row>
    <row r="163" spans="1:44">
      <c r="A163" s="8">
        <f t="shared" si="152"/>
        <v>109.08</v>
      </c>
      <c r="B163">
        <f t="shared" si="153"/>
        <v>14.388400000000004</v>
      </c>
      <c r="D163" s="11"/>
      <c r="H163">
        <f t="shared" si="148"/>
        <v>182</v>
      </c>
      <c r="I163">
        <f t="shared" si="128"/>
        <v>0.20441026153026468</v>
      </c>
      <c r="J163">
        <f t="shared" si="129"/>
        <v>1.8997985619000013E-2</v>
      </c>
      <c r="K163">
        <f t="shared" si="130"/>
        <v>278.82140764524001</v>
      </c>
      <c r="L163">
        <f t="shared" si="131"/>
        <v>207.07417582417582</v>
      </c>
      <c r="M163">
        <f t="shared" si="132"/>
        <v>-13.057996191433682</v>
      </c>
      <c r="N163">
        <f t="shared" si="133"/>
        <v>-2565.8962516167185</v>
      </c>
      <c r="O163">
        <f t="shared" si="149"/>
        <v>600</v>
      </c>
      <c r="P163">
        <f t="shared" si="134"/>
        <v>5.7157483557489392</v>
      </c>
      <c r="Q163">
        <f t="shared" si="135"/>
        <v>8.7350469839022988</v>
      </c>
      <c r="R163">
        <f t="shared" si="136"/>
        <v>17.379719785634972</v>
      </c>
      <c r="T163">
        <f t="shared" si="150"/>
        <v>180</v>
      </c>
      <c r="U163">
        <f t="shared" si="137"/>
        <v>0.27863726349499945</v>
      </c>
      <c r="V163">
        <f t="shared" si="138"/>
        <v>2.0712490600050447E-2</v>
      </c>
      <c r="W163">
        <f t="shared" si="139"/>
        <v>297.33985096249933</v>
      </c>
      <c r="X163">
        <f t="shared" si="140"/>
        <v>209.375</v>
      </c>
      <c r="Y163">
        <f t="shared" si="141"/>
        <v>-15.833673173249879</v>
      </c>
      <c r="Z163">
        <f t="shared" si="142"/>
        <v>-3111.3167785436012</v>
      </c>
      <c r="AA163">
        <f t="shared" si="151"/>
        <v>400</v>
      </c>
      <c r="AB163">
        <f t="shared" si="143"/>
        <v>8.3172158475412523</v>
      </c>
      <c r="AC163">
        <f t="shared" si="144"/>
        <v>12.093855192486629</v>
      </c>
      <c r="AD163">
        <f t="shared" si="145"/>
        <v>25.783100780887047</v>
      </c>
      <c r="AH163">
        <f t="shared" si="146"/>
        <v>194</v>
      </c>
      <c r="AI163">
        <f t="shared" si="119"/>
        <v>0.29984082186065147</v>
      </c>
      <c r="AJ163">
        <f t="shared" si="120"/>
        <v>2.1299010337278088E-2</v>
      </c>
      <c r="AK163">
        <f t="shared" si="121"/>
        <v>355.17195765919809</v>
      </c>
      <c r="AL163">
        <f t="shared" si="122"/>
        <v>194.26546391752578</v>
      </c>
      <c r="AM163">
        <f t="shared" si="123"/>
        <v>-31.215859785884426</v>
      </c>
      <c r="AN163">
        <f t="shared" si="124"/>
        <v>-6133.9164479262899</v>
      </c>
      <c r="AO163">
        <f t="shared" si="147"/>
        <v>200</v>
      </c>
      <c r="AP163">
        <f t="shared" si="125"/>
        <v>19.20851465468829</v>
      </c>
      <c r="AQ163">
        <f t="shared" si="126"/>
        <v>14.193697026994077</v>
      </c>
      <c r="AR163">
        <f t="shared" si="127"/>
        <v>55.576906127689853</v>
      </c>
    </row>
    <row r="164" spans="1:44">
      <c r="A164" s="8">
        <f t="shared" si="152"/>
        <v>118.17</v>
      </c>
      <c r="B164">
        <f t="shared" si="153"/>
        <v>13.095100000000002</v>
      </c>
      <c r="D164" s="11"/>
      <c r="H164">
        <f t="shared" si="148"/>
        <v>184</v>
      </c>
      <c r="I164">
        <f t="shared" si="128"/>
        <v>0.19999071074339811</v>
      </c>
      <c r="J164">
        <f t="shared" si="129"/>
        <v>1.891252278500178E-2</v>
      </c>
      <c r="K164">
        <f t="shared" si="130"/>
        <v>283.70101863282815</v>
      </c>
      <c r="L164">
        <f t="shared" si="131"/>
        <v>204.8233695652174</v>
      </c>
      <c r="M164">
        <f t="shared" si="132"/>
        <v>-14.513487428440378</v>
      </c>
      <c r="N164">
        <f t="shared" si="133"/>
        <v>-2851.9002796885343</v>
      </c>
      <c r="O164">
        <f t="shared" si="149"/>
        <v>600</v>
      </c>
      <c r="P164">
        <f t="shared" si="134"/>
        <v>5.8382336701075106</v>
      </c>
      <c r="Q164">
        <f t="shared" si="135"/>
        <v>8.640100821033796</v>
      </c>
      <c r="R164">
        <f t="shared" si="136"/>
        <v>17.570705717345248</v>
      </c>
      <c r="T164">
        <f t="shared" si="150"/>
        <v>182</v>
      </c>
      <c r="U164">
        <f t="shared" si="137"/>
        <v>0.27254701537368625</v>
      </c>
      <c r="V164">
        <f t="shared" si="138"/>
        <v>2.0551974433777803E-2</v>
      </c>
      <c r="W164">
        <f t="shared" si="139"/>
        <v>301.6283176772157</v>
      </c>
      <c r="X164">
        <f t="shared" si="140"/>
        <v>207.07417582417582</v>
      </c>
      <c r="Y164">
        <f t="shared" si="141"/>
        <v>-17.208853817253257</v>
      </c>
      <c r="Z164">
        <f t="shared" si="142"/>
        <v>-3381.5397750902648</v>
      </c>
      <c r="AA164">
        <f t="shared" si="151"/>
        <v>400</v>
      </c>
      <c r="AB164">
        <f t="shared" si="143"/>
        <v>8.5004119517265213</v>
      </c>
      <c r="AC164">
        <f t="shared" si="144"/>
        <v>11.960955684876886</v>
      </c>
      <c r="AD164">
        <f t="shared" si="145"/>
        <v>26.069579678452463</v>
      </c>
      <c r="AH164">
        <f t="shared" si="146"/>
        <v>196</v>
      </c>
      <c r="AI164">
        <f t="shared" si="119"/>
        <v>0.2937528418249552</v>
      </c>
      <c r="AJ164">
        <f t="shared" si="120"/>
        <v>2.1126208066102332E-2</v>
      </c>
      <c r="AK164">
        <f t="shared" si="121"/>
        <v>359.59155211664745</v>
      </c>
      <c r="AL164">
        <f t="shared" si="122"/>
        <v>192.28316326530611</v>
      </c>
      <c r="AM164">
        <f t="shared" si="123"/>
        <v>-32.792444214862904</v>
      </c>
      <c r="AN164">
        <f t="shared" si="124"/>
        <v>-6443.715288220561</v>
      </c>
      <c r="AO164">
        <f t="shared" si="147"/>
        <v>200</v>
      </c>
      <c r="AP164">
        <f t="shared" si="125"/>
        <v>19.605539991783619</v>
      </c>
      <c r="AQ164">
        <f t="shared" si="126"/>
        <v>14.048863383861486</v>
      </c>
      <c r="AR164">
        <f t="shared" si="127"/>
        <v>56.149863922820693</v>
      </c>
    </row>
    <row r="165" spans="1:44">
      <c r="A165" s="8">
        <f t="shared" si="152"/>
        <v>127.26</v>
      </c>
      <c r="B165">
        <f t="shared" si="153"/>
        <v>11.315799999999996</v>
      </c>
      <c r="D165" s="11"/>
      <c r="H165">
        <f t="shared" si="148"/>
        <v>186</v>
      </c>
      <c r="I165">
        <f t="shared" si="128"/>
        <v>0.19571295823009846</v>
      </c>
      <c r="J165">
        <f t="shared" si="129"/>
        <v>1.8831581014019157E-2</v>
      </c>
      <c r="K165">
        <f t="shared" si="130"/>
        <v>288.66122893935807</v>
      </c>
      <c r="L165">
        <f t="shared" si="131"/>
        <v>202.62096774193549</v>
      </c>
      <c r="M165">
        <f t="shared" si="132"/>
        <v>-16.0034885827206</v>
      </c>
      <c r="N165">
        <f t="shared" si="133"/>
        <v>-3144.6855065045979</v>
      </c>
      <c r="O165">
        <f t="shared" si="149"/>
        <v>600</v>
      </c>
      <c r="P165">
        <f t="shared" si="134"/>
        <v>5.9621366381208851</v>
      </c>
      <c r="Q165">
        <f t="shared" si="135"/>
        <v>8.5471965111302062</v>
      </c>
      <c r="R165">
        <f t="shared" si="136"/>
        <v>17.761691649055525</v>
      </c>
      <c r="T165">
        <f t="shared" si="150"/>
        <v>184</v>
      </c>
      <c r="U165">
        <f t="shared" si="137"/>
        <v>0.26665428099119748</v>
      </c>
      <c r="V165">
        <f t="shared" si="138"/>
        <v>2.0400040506669829E-2</v>
      </c>
      <c r="W165">
        <f t="shared" si="139"/>
        <v>306.01482085102174</v>
      </c>
      <c r="X165">
        <f t="shared" si="140"/>
        <v>204.8233695652174</v>
      </c>
      <c r="Y165">
        <f t="shared" si="141"/>
        <v>-18.619227036587997</v>
      </c>
      <c r="Z165">
        <f t="shared" si="142"/>
        <v>-3658.6781126895412</v>
      </c>
      <c r="AA165">
        <f t="shared" si="151"/>
        <v>400</v>
      </c>
      <c r="AB165">
        <f t="shared" si="143"/>
        <v>8.6856886814027749</v>
      </c>
      <c r="AC165">
        <f t="shared" si="144"/>
        <v>11.83094529699779</v>
      </c>
      <c r="AD165">
        <f t="shared" si="145"/>
        <v>26.356058576017872</v>
      </c>
      <c r="AH165">
        <f t="shared" si="146"/>
        <v>198</v>
      </c>
      <c r="AI165">
        <f t="shared" si="119"/>
        <v>0.28784841270144568</v>
      </c>
      <c r="AJ165">
        <f t="shared" si="120"/>
        <v>2.0962001613673124E-2</v>
      </c>
      <c r="AK165">
        <f t="shared" si="121"/>
        <v>364.11528931053653</v>
      </c>
      <c r="AL165">
        <f t="shared" si="122"/>
        <v>190.34090909090909</v>
      </c>
      <c r="AM165">
        <f t="shared" si="123"/>
        <v>-34.407327283486232</v>
      </c>
      <c r="AN165">
        <f t="shared" si="124"/>
        <v>-6761.0398112050443</v>
      </c>
      <c r="AO165">
        <f t="shared" si="147"/>
        <v>200</v>
      </c>
      <c r="AP165">
        <f t="shared" si="125"/>
        <v>20.006658684494742</v>
      </c>
      <c r="AQ165">
        <f t="shared" si="126"/>
        <v>13.906955672913385</v>
      </c>
      <c r="AR165">
        <f t="shared" si="127"/>
        <v>56.722821717951497</v>
      </c>
    </row>
    <row r="166" spans="1:44">
      <c r="A166" s="8">
        <f t="shared" si="152"/>
        <v>136.35</v>
      </c>
      <c r="B166">
        <f t="shared" si="153"/>
        <v>9.0504999999999924</v>
      </c>
      <c r="D166" s="11"/>
      <c r="H166">
        <f t="shared" si="148"/>
        <v>188</v>
      </c>
      <c r="I166">
        <f t="shared" si="128"/>
        <v>0.19157100223315093</v>
      </c>
      <c r="J166">
        <f t="shared" si="129"/>
        <v>1.8754876316472928E-2</v>
      </c>
      <c r="K166">
        <f t="shared" si="130"/>
        <v>293.70117759754726</v>
      </c>
      <c r="L166">
        <f t="shared" si="131"/>
        <v>200.46542553191489</v>
      </c>
      <c r="M166">
        <f t="shared" si="132"/>
        <v>-17.528321388338885</v>
      </c>
      <c r="N166">
        <f t="shared" si="133"/>
        <v>-3444.3151528085909</v>
      </c>
      <c r="O166">
        <f t="shared" si="149"/>
        <v>600</v>
      </c>
      <c r="P166">
        <f t="shared" si="134"/>
        <v>6.0874549063688352</v>
      </c>
      <c r="Q166">
        <f t="shared" si="135"/>
        <v>8.4562688886713744</v>
      </c>
      <c r="R166">
        <f t="shared" si="136"/>
        <v>17.952677580765798</v>
      </c>
      <c r="T166">
        <f t="shared" si="150"/>
        <v>186</v>
      </c>
      <c r="U166">
        <f t="shared" si="137"/>
        <v>0.26095061097346461</v>
      </c>
      <c r="V166">
        <f t="shared" si="138"/>
        <v>2.0256144024922942E-2</v>
      </c>
      <c r="W166">
        <f t="shared" si="139"/>
        <v>310.49774437175375</v>
      </c>
      <c r="X166">
        <f t="shared" si="140"/>
        <v>202.62096774193549</v>
      </c>
      <c r="Y166">
        <f t="shared" si="141"/>
        <v>-20.065080453146198</v>
      </c>
      <c r="Z166">
        <f t="shared" si="142"/>
        <v>-3942.7883090432279</v>
      </c>
      <c r="AA166">
        <f t="shared" si="151"/>
        <v>400</v>
      </c>
      <c r="AB166">
        <f t="shared" si="143"/>
        <v>8.8730442862724797</v>
      </c>
      <c r="AC166">
        <f t="shared" si="144"/>
        <v>11.703730831438675</v>
      </c>
      <c r="AD166">
        <f t="shared" si="145"/>
        <v>26.642537473583289</v>
      </c>
      <c r="AH166">
        <f t="shared" si="146"/>
        <v>200</v>
      </c>
      <c r="AI166">
        <f t="shared" si="119"/>
        <v>0.28212022928868691</v>
      </c>
      <c r="AJ166">
        <f t="shared" si="120"/>
        <v>2.0805882941707966E-2</v>
      </c>
      <c r="AK166">
        <f t="shared" si="121"/>
        <v>368.74142265810013</v>
      </c>
      <c r="AL166">
        <f t="shared" ref="AL166" si="154">(2*$B$3*$B$8*$D$6)/($B$10*$B$9*$B$4*AK166^2)</f>
        <v>3.3197880472859667E-2</v>
      </c>
      <c r="AM166">
        <f t="shared" ref="AM166" si="155">$B$5+(AL166^2/($B$13*$B$12*PI()))</f>
        <v>1.7052699644320851E-2</v>
      </c>
      <c r="AN166">
        <f t="shared" ref="AN166" si="156">(0.5/$B$8)*$B$10*$B$9*$B$4*AM166*AK166^2</f>
        <v>1027.3366492937391</v>
      </c>
      <c r="AO166">
        <f t="shared" si="147"/>
        <v>200</v>
      </c>
      <c r="AP166">
        <f t="shared" ref="AP166" si="157">((AO166-AN166)*AK166)/($B$3)</f>
        <v>-305.07329307775905</v>
      </c>
      <c r="AQ166">
        <f t="shared" si="126"/>
        <v>13.767886116184252</v>
      </c>
      <c r="AR166">
        <f t="shared" ref="AR166" si="158">AK166^2/($B$8*SQRT($D$5^2-1))</f>
        <v>12397.092451196195</v>
      </c>
    </row>
    <row r="167" spans="1:44">
      <c r="A167" s="8">
        <f t="shared" si="152"/>
        <v>145.44</v>
      </c>
      <c r="B167">
        <f t="shared" si="153"/>
        <v>6.299199999999999</v>
      </c>
      <c r="D167" s="11"/>
      <c r="H167">
        <f t="shared" si="148"/>
        <v>190</v>
      </c>
      <c r="I167">
        <f t="shared" si="128"/>
        <v>0.18755915520577526</v>
      </c>
      <c r="J167">
        <f t="shared" si="129"/>
        <v>1.8682145298473608E-2</v>
      </c>
      <c r="K167">
        <f t="shared" si="130"/>
        <v>298.82004871439659</v>
      </c>
      <c r="L167">
        <f t="shared" si="131"/>
        <v>198.35526315789474</v>
      </c>
      <c r="M167">
        <f t="shared" si="132"/>
        <v>-19.088309255735354</v>
      </c>
      <c r="N167">
        <f t="shared" si="133"/>
        <v>-3750.8527687519968</v>
      </c>
      <c r="O167">
        <f t="shared" si="149"/>
        <v>600</v>
      </c>
      <c r="P167">
        <f t="shared" ref="P167" si="159">((O167-N167)*K167)/($B$3)</f>
        <v>1300.1220363076388</v>
      </c>
      <c r="Q167">
        <f t="shared" si="135"/>
        <v>8.3672555319485156</v>
      </c>
      <c r="R167">
        <f t="shared" ref="R167" si="160">K167^2/($B$8*SQRT($D$5^2-1))</f>
        <v>8141.3317206164329</v>
      </c>
      <c r="T167">
        <f t="shared" si="150"/>
        <v>188</v>
      </c>
      <c r="U167">
        <f t="shared" si="137"/>
        <v>0.2554280029775346</v>
      </c>
      <c r="V167">
        <f t="shared" si="138"/>
        <v>2.0119780118174092E-2</v>
      </c>
      <c r="W167">
        <f t="shared" si="139"/>
        <v>315.07555763090971</v>
      </c>
      <c r="X167">
        <f t="shared" ref="X167" si="161">(2*$B$3*$B$8*$D$6)/($B$10*$B$9*$B$4*W167^2)</f>
        <v>4.5469982145950674E-2</v>
      </c>
      <c r="Y167">
        <f t="shared" ref="Y167" si="162">$B$5+(X167^2/($B$13*$B$12*PI()))</f>
        <v>1.7098863626594078E-2</v>
      </c>
      <c r="Z167">
        <f t="shared" ref="Z167" si="163">(0.5/$B$8)*$B$10*$B$9*$B$4*Y167*W167^2</f>
        <v>752.09458282652156</v>
      </c>
      <c r="AA167">
        <f t="shared" si="151"/>
        <v>400</v>
      </c>
      <c r="AB167">
        <f t="shared" ref="AB167" si="164">((AA167-Z167)*W167)/($B$3)</f>
        <v>-110.93639702288881</v>
      </c>
      <c r="AC167">
        <f t="shared" si="144"/>
        <v>11.579223056636133</v>
      </c>
      <c r="AD167">
        <f t="shared" ref="AD167" si="165">W167^2/($B$8*SQRT($D$5^2-1))</f>
        <v>9051.1844074355613</v>
      </c>
    </row>
    <row r="168" spans="1:44" ht="15.75" thickBot="1">
      <c r="A168" s="8">
        <f t="shared" si="152"/>
        <v>156.55000000000001</v>
      </c>
      <c r="B168">
        <v>0</v>
      </c>
      <c r="C168" s="25"/>
      <c r="D168" s="20"/>
    </row>
    <row r="170" spans="1:44" ht="15.75" thickBot="1">
      <c r="A170" s="43" t="s">
        <v>63</v>
      </c>
      <c r="B170" s="43"/>
      <c r="C170" s="43"/>
      <c r="D170" s="43"/>
    </row>
    <row r="171" spans="1:44" ht="15.75" thickBot="1">
      <c r="A171" s="31" t="s">
        <v>52</v>
      </c>
      <c r="B171" s="33"/>
      <c r="C171" s="41"/>
      <c r="D171" s="42"/>
    </row>
    <row r="172" spans="1:44">
      <c r="A172" s="8" t="s">
        <v>19</v>
      </c>
      <c r="B172" t="s">
        <v>51</v>
      </c>
      <c r="C172" s="34" t="s">
        <v>53</v>
      </c>
      <c r="D172" s="35"/>
    </row>
    <row r="173" spans="1:44">
      <c r="A173" s="8">
        <v>58</v>
      </c>
      <c r="B173">
        <f>B159*1.5</f>
        <v>22.052399999999999</v>
      </c>
      <c r="C173" s="8" t="s">
        <v>54</v>
      </c>
      <c r="D173" s="11">
        <f>-0.003</f>
        <v>-3.0000000000000001E-3</v>
      </c>
    </row>
    <row r="174" spans="1:44">
      <c r="A174" s="8">
        <f t="shared" ref="A174:A182" si="166">A160*1.1</f>
        <v>89.991000000000014</v>
      </c>
      <c r="B174">
        <f t="shared" ref="B174:B182" si="167">B160*1.5</f>
        <v>23.028449999999999</v>
      </c>
      <c r="C174" s="8" t="s">
        <v>37</v>
      </c>
      <c r="D174" s="11">
        <v>0.53129999999999999</v>
      </c>
    </row>
    <row r="175" spans="1:44" ht="15.75" thickBot="1">
      <c r="A175" s="8">
        <f t="shared" si="166"/>
        <v>99.990000000000009</v>
      </c>
      <c r="B175">
        <f t="shared" si="167"/>
        <v>23.275500000000001</v>
      </c>
      <c r="C175" s="19" t="s">
        <v>55</v>
      </c>
      <c r="D175" s="20">
        <v>-8</v>
      </c>
    </row>
    <row r="176" spans="1:44">
      <c r="A176" s="8">
        <f t="shared" si="166"/>
        <v>109.989</v>
      </c>
      <c r="B176">
        <f t="shared" si="167"/>
        <v>22.793549999999996</v>
      </c>
      <c r="D176" s="11"/>
    </row>
    <row r="177" spans="1:4">
      <c r="A177" s="8">
        <f t="shared" si="166"/>
        <v>119.98800000000001</v>
      </c>
      <c r="B177">
        <f t="shared" si="167"/>
        <v>21.582600000000006</v>
      </c>
      <c r="D177" s="11"/>
    </row>
    <row r="178" spans="1:4">
      <c r="A178" s="8">
        <f t="shared" si="166"/>
        <v>129.98700000000002</v>
      </c>
      <c r="B178">
        <f t="shared" si="167"/>
        <v>19.642650000000003</v>
      </c>
      <c r="D178" s="11"/>
    </row>
    <row r="179" spans="1:4">
      <c r="A179" s="8">
        <f t="shared" si="166"/>
        <v>139.98600000000002</v>
      </c>
      <c r="B179">
        <f t="shared" si="167"/>
        <v>16.973699999999994</v>
      </c>
      <c r="D179" s="11"/>
    </row>
    <row r="180" spans="1:4">
      <c r="A180" s="8">
        <f t="shared" si="166"/>
        <v>149.98500000000001</v>
      </c>
      <c r="B180">
        <f t="shared" si="167"/>
        <v>13.575749999999989</v>
      </c>
      <c r="D180" s="11"/>
    </row>
    <row r="181" spans="1:4">
      <c r="A181" s="8">
        <f t="shared" si="166"/>
        <v>159.98400000000001</v>
      </c>
      <c r="B181">
        <f t="shared" si="167"/>
        <v>9.4487999999999985</v>
      </c>
      <c r="D181" s="11"/>
    </row>
    <row r="182" spans="1:4" ht="15.75" thickBot="1">
      <c r="A182" s="8">
        <f t="shared" si="166"/>
        <v>172.20500000000001</v>
      </c>
      <c r="B182">
        <f t="shared" si="167"/>
        <v>0</v>
      </c>
      <c r="C182" s="25"/>
      <c r="D182" s="20"/>
    </row>
  </sheetData>
  <mergeCells count="24">
    <mergeCell ref="A119:D119"/>
    <mergeCell ref="C132:D132"/>
    <mergeCell ref="A145:D145"/>
    <mergeCell ref="A157:B157"/>
    <mergeCell ref="A170:D170"/>
    <mergeCell ref="A171:B171"/>
    <mergeCell ref="AH88:AR89"/>
    <mergeCell ref="H89:R90"/>
    <mergeCell ref="T89:AD90"/>
    <mergeCell ref="A94:D94"/>
    <mergeCell ref="A106:B106"/>
    <mergeCell ref="C107:D107"/>
    <mergeCell ref="A40:B41"/>
    <mergeCell ref="A45:D46"/>
    <mergeCell ref="A47:D47"/>
    <mergeCell ref="A55:B55"/>
    <mergeCell ref="A68:D68"/>
    <mergeCell ref="A79:B79"/>
    <mergeCell ref="A1:D2"/>
    <mergeCell ref="C3:D3"/>
    <mergeCell ref="H5:R6"/>
    <mergeCell ref="T5:AD6"/>
    <mergeCell ref="AH5:AR6"/>
    <mergeCell ref="A17:D1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EM-Chart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Gopolang Makgothi</dc:creator>
  <cp:lastModifiedBy>Gopolang Makgothi</cp:lastModifiedBy>
  <dcterms:created xsi:type="dcterms:W3CDTF">2025-09-01T15:22:27Z</dcterms:created>
  <dcterms:modified xsi:type="dcterms:W3CDTF">2025-09-01T15:22:29Z</dcterms:modified>
</cp:coreProperties>
</file>